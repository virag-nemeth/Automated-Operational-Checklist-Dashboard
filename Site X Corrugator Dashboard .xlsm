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6.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viragnemeth/Library/Mobile Documents/com~apple~CloudDocs/Data Analyst Courses/Projects/Dan's Dashboard/"/>
    </mc:Choice>
  </mc:AlternateContent>
  <xr:revisionPtr revIDLastSave="0" documentId="13_ncr:1_{F6AD5AF6-1962-9447-9752-69DA54D6511C}" xr6:coauthVersionLast="47" xr6:coauthVersionMax="47" xr10:uidLastSave="{00000000-0000-0000-0000-000000000000}"/>
  <bookViews>
    <workbookView xWindow="4440" yWindow="740" windowWidth="24960" windowHeight="15720" xr2:uid="{6813AF59-BFF3-4778-B0A3-E9E7B93BDCB4}"/>
  </bookViews>
  <sheets>
    <sheet name="Home dashboard" sheetId="4" r:id="rId1"/>
    <sheet name="Fundamental list" sheetId="7" r:id="rId2"/>
    <sheet name="Daily checks" sheetId="1" r:id="rId3"/>
    <sheet name="Weekly checks" sheetId="3" r:id="rId4"/>
    <sheet name="Monthly checks" sheetId="5" r:id="rId5"/>
    <sheet name="6 weeks+ checks" sheetId="6" r:id="rId6"/>
    <sheet name="Completion Rate" sheetId="12" r:id="rId7"/>
    <sheet name="ResetTracker" sheetId="13" r:id="rId8"/>
    <sheet name="KPIs" sheetId="9" r:id="rId9"/>
    <sheet name="Log sheet" sheetId="11" r:id="rId10"/>
    <sheet name="DailyLogCount" sheetId="21" r:id="rId11"/>
    <sheet name="WeeklyLogCount" sheetId="23" r:id="rId12"/>
    <sheet name="MonthlyLogCount" sheetId="22" r:id="rId13"/>
  </sheets>
  <definedNames>
    <definedName name="_xleta.COUNTIFS" hidden="1" xlm="1">#NAME?</definedName>
    <definedName name="ExternalData_1" localSheetId="12" hidden="1">MonthlyLogCount!$A$1:$D$3</definedName>
    <definedName name="ExternalData_2" localSheetId="11" hidden="1">WeeklyLogCount!$A$1:$E$2</definedName>
    <definedName name="ExternalData_3" localSheetId="10" hidden="1">DailyLogCount!$A$1:$D$32</definedName>
    <definedName name="Slicer_LogMonth">#N/A</definedName>
    <definedName name="Slicer_LogMonth1">#N/A</definedName>
    <definedName name="Slicer_Month">#N/A</definedName>
    <definedName name="Slicer_Quarter">#N/A</definedName>
    <definedName name="Slicer_Quarter1">#N/A</definedName>
    <definedName name="Slicer_Year">#N/A</definedName>
    <definedName name="Slicer_Year1">#N/A</definedName>
    <definedName name="Slicer_Year2">#N/A</definedName>
    <definedName name="tempcheck">'Daily checks'!$D$10</definedName>
    <definedName name="viscosity1">'Daily checks'!$D$7</definedName>
    <definedName name="viscosity2">'Daily checks'!$D$8</definedName>
    <definedName name="viscosity3">'Daily checks'!$D$9</definedName>
  </definedNames>
  <calcPr calcId="191029"/>
  <pivotCaches>
    <pivotCache cacheId="0" r:id="rId14"/>
    <pivotCache cacheId="1" r:id="rId15"/>
    <pivotCache cacheId="2"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3" i="11" l="1"/>
  <c r="K83" i="11"/>
  <c r="L83" i="11"/>
  <c r="M83" i="11"/>
  <c r="N83" i="11"/>
  <c r="J82" i="11"/>
  <c r="K82" i="11"/>
  <c r="L82" i="11"/>
  <c r="M82" i="11"/>
  <c r="N82" i="11"/>
  <c r="J81" i="11"/>
  <c r="K81" i="11"/>
  <c r="L81" i="11"/>
  <c r="M81" i="11"/>
  <c r="N81" i="11"/>
  <c r="J80" i="11"/>
  <c r="K80" i="11"/>
  <c r="L80" i="11"/>
  <c r="M80" i="11"/>
  <c r="N80" i="11"/>
  <c r="J79" i="11"/>
  <c r="K79" i="11"/>
  <c r="L79" i="11"/>
  <c r="M79" i="11"/>
  <c r="N79" i="11"/>
  <c r="J78" i="11"/>
  <c r="K78" i="11"/>
  <c r="L78" i="11"/>
  <c r="M78" i="11"/>
  <c r="N78" i="11"/>
  <c r="J77" i="11"/>
  <c r="K77" i="11"/>
  <c r="L77" i="11"/>
  <c r="M77" i="11"/>
  <c r="N77" i="11"/>
  <c r="J76" i="11"/>
  <c r="K76" i="11"/>
  <c r="L76" i="11"/>
  <c r="M76" i="11"/>
  <c r="N76" i="11"/>
  <c r="J75" i="11"/>
  <c r="K75" i="11"/>
  <c r="L75" i="11"/>
  <c r="M75" i="11"/>
  <c r="N75" i="11"/>
  <c r="J74" i="11"/>
  <c r="K74" i="11"/>
  <c r="L74" i="11"/>
  <c r="M74" i="11"/>
  <c r="N74" i="11"/>
  <c r="J73" i="11"/>
  <c r="K73" i="11"/>
  <c r="L73" i="11"/>
  <c r="M73" i="11"/>
  <c r="N73" i="11"/>
  <c r="J72" i="11"/>
  <c r="K72" i="11"/>
  <c r="L72" i="11"/>
  <c r="M72" i="11"/>
  <c r="N72" i="11"/>
  <c r="J71" i="11"/>
  <c r="K71" i="11"/>
  <c r="L71" i="11"/>
  <c r="M71" i="11"/>
  <c r="N71" i="11"/>
  <c r="J70" i="11"/>
  <c r="K70" i="11"/>
  <c r="L70" i="11"/>
  <c r="M70" i="11"/>
  <c r="N70" i="11"/>
  <c r="E2" i="21"/>
  <c r="E3" i="21"/>
  <c r="E4" i="21"/>
  <c r="E5" i="21"/>
  <c r="E6" i="21"/>
  <c r="E7" i="21"/>
  <c r="E8" i="21"/>
  <c r="E9" i="21"/>
  <c r="E10" i="21"/>
  <c r="E11" i="21"/>
  <c r="E12" i="21"/>
  <c r="E13" i="21"/>
  <c r="E14" i="21"/>
  <c r="E15" i="21"/>
  <c r="E16" i="21"/>
  <c r="E17" i="21"/>
  <c r="E18" i="21"/>
  <c r="E19" i="21"/>
  <c r="E20" i="21"/>
  <c r="E21" i="21"/>
  <c r="E22" i="21"/>
  <c r="E23" i="21"/>
  <c r="E24" i="21"/>
  <c r="E25" i="21"/>
  <c r="E26" i="21"/>
  <c r="E27" i="21"/>
  <c r="E28" i="21"/>
  <c r="E29" i="21"/>
  <c r="E30" i="21"/>
  <c r="E31" i="21"/>
  <c r="E32" i="21"/>
  <c r="E2" i="22"/>
  <c r="E3" i="22"/>
  <c r="F2" i="23"/>
  <c r="J69" i="11"/>
  <c r="K69" i="11"/>
  <c r="L69" i="11"/>
  <c r="M69" i="11"/>
  <c r="N69" i="11"/>
  <c r="J68" i="11"/>
  <c r="K68" i="11"/>
  <c r="L68" i="11"/>
  <c r="M68" i="11"/>
  <c r="N68" i="11"/>
  <c r="J67" i="11"/>
  <c r="K67" i="11"/>
  <c r="L67" i="11"/>
  <c r="M67" i="11"/>
  <c r="N67" i="11"/>
  <c r="J66" i="11"/>
  <c r="K66" i="11"/>
  <c r="L66" i="11"/>
  <c r="M66" i="11"/>
  <c r="N66" i="11"/>
  <c r="J65" i="11"/>
  <c r="K65" i="11"/>
  <c r="L65" i="11"/>
  <c r="M65" i="11"/>
  <c r="N65" i="11"/>
  <c r="J64" i="11"/>
  <c r="K64" i="11"/>
  <c r="L64" i="11"/>
  <c r="M64" i="11"/>
  <c r="N64" i="11"/>
  <c r="J63" i="11"/>
  <c r="K63" i="11"/>
  <c r="L63" i="11"/>
  <c r="M63" i="11"/>
  <c r="N63" i="11"/>
  <c r="J62" i="11"/>
  <c r="K62" i="11"/>
  <c r="L62" i="11"/>
  <c r="M62" i="11"/>
  <c r="N62" i="11"/>
  <c r="J61" i="11"/>
  <c r="K61" i="11"/>
  <c r="L61" i="11"/>
  <c r="M61" i="11"/>
  <c r="N61" i="11"/>
  <c r="J60" i="11"/>
  <c r="K60" i="11"/>
  <c r="L60" i="11"/>
  <c r="M60" i="11"/>
  <c r="N60" i="11"/>
  <c r="J59" i="11"/>
  <c r="K59" i="11"/>
  <c r="L59" i="11"/>
  <c r="M59" i="11"/>
  <c r="N59" i="11"/>
  <c r="J58" i="11"/>
  <c r="K58" i="11"/>
  <c r="L58" i="11"/>
  <c r="M58" i="11"/>
  <c r="N58" i="11"/>
  <c r="J57" i="11"/>
  <c r="K57" i="11"/>
  <c r="L57" i="11"/>
  <c r="M57" i="11"/>
  <c r="N57" i="11"/>
  <c r="J56" i="11"/>
  <c r="K56" i="11"/>
  <c r="L56" i="11"/>
  <c r="M56" i="11"/>
  <c r="N56" i="11"/>
  <c r="J55" i="11"/>
  <c r="K55" i="11"/>
  <c r="L55" i="11"/>
  <c r="M55" i="11"/>
  <c r="N55" i="11"/>
  <c r="J54" i="11"/>
  <c r="K54" i="11"/>
  <c r="L54" i="11"/>
  <c r="M54" i="11"/>
  <c r="N54" i="11"/>
  <c r="J53" i="11"/>
  <c r="K53" i="11"/>
  <c r="L53" i="11"/>
  <c r="M53" i="11"/>
  <c r="N53" i="11"/>
  <c r="J52" i="11"/>
  <c r="K52" i="11"/>
  <c r="L52" i="11"/>
  <c r="M52" i="11"/>
  <c r="N52" i="11"/>
  <c r="J51" i="11"/>
  <c r="K51" i="11"/>
  <c r="L51" i="11"/>
  <c r="M51" i="11"/>
  <c r="N51" i="11"/>
  <c r="J50" i="11" l="1"/>
  <c r="K50" i="11"/>
  <c r="L50" i="11"/>
  <c r="M50" i="11"/>
  <c r="N50" i="11"/>
  <c r="J49" i="11" l="1"/>
  <c r="K49" i="11"/>
  <c r="L49" i="11"/>
  <c r="M49" i="11"/>
  <c r="N49" i="11"/>
  <c r="J48" i="11"/>
  <c r="K48" i="11"/>
  <c r="L48" i="11"/>
  <c r="M48" i="11"/>
  <c r="N48" i="11"/>
  <c r="J47" i="11"/>
  <c r="K47" i="11"/>
  <c r="L47" i="11"/>
  <c r="M47" i="11"/>
  <c r="N47" i="11"/>
  <c r="J46" i="11"/>
  <c r="K46" i="11"/>
  <c r="L46" i="11"/>
  <c r="M46" i="11"/>
  <c r="N46" i="11"/>
  <c r="J45" i="11"/>
  <c r="K45" i="11"/>
  <c r="L45" i="11"/>
  <c r="M45" i="11"/>
  <c r="N45" i="11"/>
  <c r="J44" i="11"/>
  <c r="K44" i="11"/>
  <c r="L44" i="11"/>
  <c r="M44" i="11"/>
  <c r="N44" i="11"/>
  <c r="J43" i="11"/>
  <c r="K43" i="11"/>
  <c r="L43" i="11"/>
  <c r="M43" i="11"/>
  <c r="N43" i="11"/>
  <c r="J42" i="11"/>
  <c r="K42" i="11"/>
  <c r="L42" i="11"/>
  <c r="M42" i="11"/>
  <c r="N42" i="11"/>
  <c r="J41" i="11"/>
  <c r="K41" i="11"/>
  <c r="L41" i="11"/>
  <c r="M41" i="11"/>
  <c r="N41" i="11"/>
  <c r="J40" i="11"/>
  <c r="K40" i="11"/>
  <c r="L40" i="11"/>
  <c r="M40" i="11"/>
  <c r="N40" i="11"/>
  <c r="J39" i="11"/>
  <c r="K39" i="11"/>
  <c r="L39" i="11"/>
  <c r="M39" i="11"/>
  <c r="N39" i="11"/>
  <c r="J38" i="11"/>
  <c r="K38" i="11"/>
  <c r="L38" i="11"/>
  <c r="M38" i="11"/>
  <c r="N38" i="11"/>
  <c r="J37" i="11"/>
  <c r="K37" i="11"/>
  <c r="L37" i="11"/>
  <c r="M37" i="11"/>
  <c r="N37" i="11"/>
  <c r="J36" i="11"/>
  <c r="K36" i="11"/>
  <c r="L36" i="11"/>
  <c r="M36" i="11"/>
  <c r="N36" i="11"/>
  <c r="J35" i="11"/>
  <c r="K35" i="11"/>
  <c r="L35" i="11"/>
  <c r="M35" i="11"/>
  <c r="N35" i="11"/>
  <c r="J34" i="11"/>
  <c r="K34" i="11"/>
  <c r="L34" i="11"/>
  <c r="M34" i="11"/>
  <c r="N34" i="11"/>
  <c r="J33" i="11"/>
  <c r="K33" i="11"/>
  <c r="L33" i="11"/>
  <c r="M33" i="11"/>
  <c r="N33" i="11"/>
  <c r="J32" i="11"/>
  <c r="K32" i="11"/>
  <c r="L32" i="11"/>
  <c r="M32" i="11"/>
  <c r="N32" i="11"/>
  <c r="J31" i="11"/>
  <c r="K31" i="11"/>
  <c r="L31" i="11"/>
  <c r="M31" i="11"/>
  <c r="N31" i="11"/>
  <c r="J30" i="11"/>
  <c r="K30" i="11"/>
  <c r="L30" i="11"/>
  <c r="M30" i="11"/>
  <c r="N30" i="11"/>
  <c r="J29" i="11"/>
  <c r="K29" i="11"/>
  <c r="L29" i="11"/>
  <c r="M29" i="11"/>
  <c r="N29" i="11"/>
  <c r="J28" i="11"/>
  <c r="K28" i="11"/>
  <c r="L28" i="11"/>
  <c r="M28" i="11"/>
  <c r="N28" i="11"/>
  <c r="J27" i="11"/>
  <c r="K27" i="11"/>
  <c r="L27" i="11"/>
  <c r="M27" i="11"/>
  <c r="N27" i="11"/>
  <c r="J26" i="11" l="1"/>
  <c r="K26" i="11"/>
  <c r="L26" i="11"/>
  <c r="M26" i="11"/>
  <c r="N26" i="11"/>
  <c r="J25" i="11"/>
  <c r="K25" i="11"/>
  <c r="L25" i="11"/>
  <c r="M25" i="11"/>
  <c r="N25" i="11"/>
  <c r="J24" i="11"/>
  <c r="K24" i="11"/>
  <c r="L24" i="11"/>
  <c r="M24" i="11"/>
  <c r="N24" i="11"/>
  <c r="J23" i="11"/>
  <c r="K23" i="11"/>
  <c r="L23" i="11"/>
  <c r="M23" i="11"/>
  <c r="N23" i="11"/>
  <c r="J22" i="11"/>
  <c r="K22" i="11"/>
  <c r="L22" i="11"/>
  <c r="M22" i="11"/>
  <c r="N22" i="11"/>
  <c r="J21" i="11"/>
  <c r="K21" i="11"/>
  <c r="L21" i="11"/>
  <c r="M21" i="11"/>
  <c r="N21" i="11"/>
  <c r="J20" i="11"/>
  <c r="K20" i="11"/>
  <c r="L20" i="11"/>
  <c r="M20" i="11"/>
  <c r="N20" i="11"/>
  <c r="J19" i="11"/>
  <c r="K19" i="11"/>
  <c r="L19" i="11"/>
  <c r="M19" i="11"/>
  <c r="N19" i="11"/>
  <c r="J18" i="11"/>
  <c r="K18" i="11"/>
  <c r="L18" i="11"/>
  <c r="M18" i="11"/>
  <c r="N18" i="11"/>
  <c r="J17" i="11"/>
  <c r="K17" i="11"/>
  <c r="L17" i="11"/>
  <c r="M17" i="11"/>
  <c r="N17" i="11"/>
  <c r="J16" i="11"/>
  <c r="K16" i="11"/>
  <c r="L16" i="11"/>
  <c r="M16" i="11"/>
  <c r="N16" i="11"/>
  <c r="J15" i="11"/>
  <c r="K15" i="11"/>
  <c r="L15" i="11"/>
  <c r="M15" i="11"/>
  <c r="N15" i="11"/>
  <c r="J14" i="11"/>
  <c r="K14" i="11"/>
  <c r="L14" i="11"/>
  <c r="M14" i="11"/>
  <c r="N14" i="11"/>
  <c r="J13" i="11"/>
  <c r="K13" i="11"/>
  <c r="L13" i="11"/>
  <c r="M13" i="11"/>
  <c r="N13" i="11"/>
  <c r="J12" i="11"/>
  <c r="K12" i="11"/>
  <c r="L12" i="11"/>
  <c r="M12" i="11"/>
  <c r="N12" i="11"/>
  <c r="J11" i="11"/>
  <c r="K11" i="11"/>
  <c r="L11" i="11"/>
  <c r="M11" i="11"/>
  <c r="N11" i="11"/>
  <c r="C21" i="5" l="1"/>
  <c r="C31" i="3"/>
  <c r="C27" i="1"/>
  <c r="K4" i="11"/>
  <c r="AK9" i="12"/>
  <c r="L10" i="12" s="1"/>
  <c r="AG3" i="12"/>
  <c r="Q11" i="12"/>
  <c r="J11" i="12"/>
  <c r="C11" i="12"/>
  <c r="S10" i="12"/>
  <c r="E10" i="12"/>
  <c r="AI3" i="12"/>
  <c r="AH3" i="12"/>
  <c r="N4" i="11"/>
  <c r="N5" i="11"/>
  <c r="N6" i="11"/>
  <c r="N7" i="11"/>
  <c r="N8" i="11"/>
  <c r="N9" i="11"/>
  <c r="N10" i="11"/>
  <c r="M4" i="11"/>
  <c r="M5" i="11"/>
  <c r="M6" i="11"/>
  <c r="M7" i="11"/>
  <c r="M8" i="11"/>
  <c r="M9" i="11"/>
  <c r="M10" i="11"/>
  <c r="L4" i="11"/>
  <c r="L5" i="11"/>
  <c r="L6" i="11"/>
  <c r="L7" i="11"/>
  <c r="L8" i="11"/>
  <c r="L9" i="11"/>
  <c r="L10" i="11"/>
  <c r="K5" i="11"/>
  <c r="K6" i="11"/>
  <c r="K7" i="11"/>
  <c r="K8" i="11"/>
  <c r="K9" i="11"/>
  <c r="K10" i="11"/>
  <c r="J4" i="11"/>
  <c r="J5" i="11"/>
  <c r="J6" i="11"/>
  <c r="J7" i="11"/>
  <c r="J8" i="11"/>
  <c r="J9" i="11"/>
  <c r="J10" i="11"/>
  <c r="T9" i="6"/>
  <c r="T10" i="6"/>
  <c r="T11" i="6"/>
  <c r="T12" i="6"/>
  <c r="T13" i="6"/>
  <c r="T14" i="6"/>
  <c r="T15" i="6"/>
  <c r="T16" i="6"/>
  <c r="T17" i="6"/>
  <c r="T18" i="6"/>
  <c r="T19" i="6"/>
  <c r="T20" i="6"/>
  <c r="T21" i="6"/>
  <c r="T22" i="6"/>
  <c r="T23" i="6"/>
  <c r="T24" i="6"/>
  <c r="T8" i="6"/>
  <c r="T9" i="5"/>
  <c r="T8" i="3"/>
  <c r="T9" i="3"/>
  <c r="T10" i="3"/>
  <c r="T11" i="3"/>
  <c r="T12" i="3"/>
  <c r="T13" i="3"/>
  <c r="T14" i="3"/>
  <c r="T15" i="3"/>
  <c r="T16" i="3"/>
  <c r="T17" i="3"/>
  <c r="T18" i="3"/>
  <c r="T19" i="3"/>
  <c r="T20" i="3"/>
  <c r="T21" i="3"/>
  <c r="T22" i="3"/>
  <c r="T23" i="3"/>
  <c r="T24" i="3"/>
  <c r="T25" i="3"/>
  <c r="T26" i="3"/>
  <c r="T27" i="3"/>
  <c r="T28" i="3"/>
  <c r="T29" i="3"/>
  <c r="T7" i="3"/>
  <c r="T10" i="5"/>
  <c r="T11" i="5"/>
  <c r="T12" i="5"/>
  <c r="T13" i="5"/>
  <c r="T14" i="5"/>
  <c r="T15" i="5"/>
  <c r="T16" i="5"/>
  <c r="T17" i="5"/>
  <c r="T18" i="5"/>
  <c r="T19" i="5"/>
  <c r="T8" i="1"/>
  <c r="T9" i="1"/>
  <c r="T10" i="1"/>
  <c r="T11" i="1"/>
  <c r="T12" i="1"/>
  <c r="T13" i="1"/>
  <c r="T14" i="1"/>
  <c r="T15" i="1"/>
  <c r="T16" i="1"/>
  <c r="T17" i="1"/>
  <c r="T18" i="1"/>
  <c r="T19" i="1"/>
  <c r="T20" i="1"/>
  <c r="T21" i="1"/>
  <c r="T22" i="1"/>
  <c r="T23" i="1"/>
  <c r="T24" i="1"/>
  <c r="T25" i="1"/>
  <c r="T7" i="1"/>
  <c r="C5" i="6"/>
  <c r="AJ9" i="12" l="1"/>
  <c r="AM9" i="12"/>
  <c r="AO9" i="12" s="1"/>
  <c r="AG9" i="12"/>
  <c r="C6" i="5"/>
  <c r="C5" i="3"/>
  <c r="S9" i="12" l="1"/>
  <c r="U10" i="12"/>
  <c r="AL9" i="12"/>
  <c r="L9" i="12" s="1"/>
  <c r="N10" i="12"/>
  <c r="AI9" i="12"/>
  <c r="E9" i="12" s="1"/>
  <c r="G10"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DA32FEA-20CF-BC48-BE63-FA2AA5F690EE}" keepAlive="1" name="Query - DailyLogCount" description="Connection to the 'DailyLogCount' query in the workbook." type="5" refreshedVersion="8" background="1" saveData="1">
    <dbPr connection="Provider=Microsoft.Mashup.OleDb.1;Data Source=$Workbook$;Location=DailyLogCount;Extended Properties=&quot;&quot;" command="SELECT * FROM [DailyLogCount]"/>
  </connection>
  <connection id="2" xr16:uid="{1FA1F2BE-63E2-C542-9DA7-EFE7C1E845EE}" keepAlive="1" name="Query - DataSpine(1)" description="Connection to the 'DataSpine' query in the workbook." type="5" refreshedVersion="8" background="1" saveData="1">
    <dbPr connection="Provider=Microsoft.Mashup.OleDb.1;Data Source=$Workbook$;Location=DataSpine;Extended Properties=&quot;&quot;" command="SELECT * FROM [DataSpine]"/>
  </connection>
  <connection id="3" xr16:uid="{16733C5A-DF58-9247-A5D9-835B495222FF}" keepAlive="1" name="Query - Merge(1)" description="Connection to the 'Merge' query in the workbook." type="5" refreshedVersion="8" background="1" refreshOnLoad="1" saveData="1">
    <dbPr connection="Provider=Microsoft.Mashup.OleDb.1;Data Source=$Workbook$;Location=Merge;Extended Properties=&quot;&quot;" command="SELECT * FROM [Merge]"/>
  </connection>
  <connection id="4" xr16:uid="{26877ACA-3B1F-8A43-9245-21BFCBDAC1AC}" keepAlive="1" name="Query - MonthlyLogCount" description="Connection to the 'MonthlyLogCount' query in the workbook." type="5" refreshedVersion="8" background="1" saveData="1">
    <dbPr connection="Provider=Microsoft.Mashup.OleDb.1;Data Source=$Workbook$;Location=MonthlyLogCount;Extended Properties=&quot;&quot;" command="SELECT * FROM [MonthlyLogCount]"/>
  </connection>
  <connection id="5" xr16:uid="{602A989D-41BA-BE42-8721-EC4E24131722}" keepAlive="1" name="Query - WeeklyLogCount" description="Connection to the 'WeeklyLogCount' query in the workbook." type="5" refreshedVersion="8" background="1" saveData="1">
    <dbPr connection="Provider=Microsoft.Mashup.OleDb.1;Data Source=$Workbook$;Location=WeeklyLogCount;Extended Properties=&quot;&quot;" command="SELECT * FROM [WeeklyLogCount]"/>
  </connection>
</connections>
</file>

<file path=xl/sharedStrings.xml><?xml version="1.0" encoding="utf-8"?>
<sst xmlns="http://schemas.openxmlformats.org/spreadsheetml/2006/main" count="855" uniqueCount="336">
  <si>
    <t>Daily checks</t>
  </si>
  <si>
    <t>Viscosity MCF</t>
  </si>
  <si>
    <t>Viscosity MF</t>
  </si>
  <si>
    <t>Viscosity backer</t>
  </si>
  <si>
    <t>Web guide sensor clean</t>
  </si>
  <si>
    <t>Web formation on bridge MF</t>
  </si>
  <si>
    <t>Web formation on bridge MCF</t>
  </si>
  <si>
    <t>Clean glue sensors backer</t>
  </si>
  <si>
    <t>Iodine soak off check</t>
  </si>
  <si>
    <t>Checks</t>
  </si>
  <si>
    <t>Done</t>
  </si>
  <si>
    <t>Initial</t>
  </si>
  <si>
    <t>CORRUGATOR FUNDAMENTALS</t>
  </si>
  <si>
    <t>Frequency</t>
  </si>
  <si>
    <t>3.5 hours</t>
  </si>
  <si>
    <t>Daily</t>
  </si>
  <si>
    <t>Fundamental list</t>
  </si>
  <si>
    <t>Weekly checks</t>
  </si>
  <si>
    <t>Monthly checks</t>
  </si>
  <si>
    <t>6 Weeks+ checks</t>
  </si>
  <si>
    <t>Engineer action log</t>
  </si>
  <si>
    <t>Weekly cleaning schedule</t>
  </si>
  <si>
    <t>Risk assessments and SSOW</t>
  </si>
  <si>
    <t>Glue roll clean MF</t>
  </si>
  <si>
    <t>Glue roll clean MCF</t>
  </si>
  <si>
    <t>Splicer festoon chain wear MCF</t>
  </si>
  <si>
    <t>Glue gap check MF</t>
  </si>
  <si>
    <t>Glue gap check MCF</t>
  </si>
  <si>
    <t>Steam pressure check MF</t>
  </si>
  <si>
    <t>Steam pressure check MCF</t>
  </si>
  <si>
    <t>Steam pressure check triplex</t>
  </si>
  <si>
    <t>Bridge brake motor clean</t>
  </si>
  <si>
    <t>Bridge brake tape wear check</t>
  </si>
  <si>
    <t>Blanket clean</t>
  </si>
  <si>
    <t>Hydraulic oil level for tensioning blanket</t>
  </si>
  <si>
    <t>Take off belts and seams in good condition</t>
  </si>
  <si>
    <t>Exit brush condition</t>
  </si>
  <si>
    <t>Tape machine air leaks and rollers clean</t>
  </si>
  <si>
    <t>Blanket moisture drop test</t>
  </si>
  <si>
    <t>Slitter knife check &amp; oil pad change</t>
  </si>
  <si>
    <t>Mix tank load cell calibration</t>
  </si>
  <si>
    <t>Glue roll condition close inspection</t>
  </si>
  <si>
    <t>Steam trap monitoring</t>
  </si>
  <si>
    <t>Paper gap check and calibration MCF</t>
  </si>
  <si>
    <t>Paper gap check and calibration MF</t>
  </si>
  <si>
    <t>Roatary shear transport rollers condition</t>
  </si>
  <si>
    <t>Interfik shoe wear and gap set</t>
  </si>
  <si>
    <t>Preheater surface temp check MCF</t>
  </si>
  <si>
    <t>Preheater surface temp check MF</t>
  </si>
  <si>
    <t>Preheater surface temp check Triple stack</t>
  </si>
  <si>
    <t>Splicer clamp bar function test MCF</t>
  </si>
  <si>
    <t>Splicer clamp bar function test MF</t>
  </si>
  <si>
    <t>Splicer clamp bar function test Backer</t>
  </si>
  <si>
    <t>6 weeks</t>
  </si>
  <si>
    <t>12 weeks</t>
  </si>
  <si>
    <t>Weekly</t>
  </si>
  <si>
    <t>Starch gel point check</t>
  </si>
  <si>
    <t>Reel stand brake pad check MCF</t>
  </si>
  <si>
    <t>Reel stand brake pad check MF</t>
  </si>
  <si>
    <t>Reel stand brake pad check backer</t>
  </si>
  <si>
    <t>Corri roll alignment carbon check MF</t>
  </si>
  <si>
    <t>Bridge belt tension check</t>
  </si>
  <si>
    <t>Glue unit roll gap &amp; scraper blade check</t>
  </si>
  <si>
    <t>Back stop square &amp; paralell check</t>
  </si>
  <si>
    <t>Hotplate condition check</t>
  </si>
  <si>
    <t xml:space="preserve">MCF paper path roll &amp; wrap alignment </t>
  </si>
  <si>
    <t>MF paper path roll &amp; wrap alignment</t>
  </si>
  <si>
    <t xml:space="preserve">Backer paper path roll &amp; wrap alignment </t>
  </si>
  <si>
    <t>Blanket speed check</t>
  </si>
  <si>
    <t>NQM over speed of in/out feed belts</t>
  </si>
  <si>
    <t>24 weeks</t>
  </si>
  <si>
    <t>Process temp verification check (MF &amp; MCF)</t>
  </si>
  <si>
    <t>Splicer knife condition (all)</t>
  </si>
  <si>
    <t>Glue unit tray sensor clean (top &amp; bottom)</t>
  </si>
  <si>
    <t>Area</t>
  </si>
  <si>
    <t>Fundamental</t>
  </si>
  <si>
    <t>Category</t>
  </si>
  <si>
    <t>Description</t>
  </si>
  <si>
    <t>Cor.GK.CA.01</t>
  </si>
  <si>
    <t>Calibration</t>
  </si>
  <si>
    <t xml:space="preserve">Glue kitchen calibration </t>
  </si>
  <si>
    <t>Single facers</t>
  </si>
  <si>
    <t>Cor.SF.CA.02</t>
  </si>
  <si>
    <t>D/backer</t>
  </si>
  <si>
    <t>Cor.GM.BC.01</t>
  </si>
  <si>
    <t>Basic condition</t>
  </si>
  <si>
    <t>Critical attention points on the glue machine</t>
  </si>
  <si>
    <t>Wet end</t>
  </si>
  <si>
    <t>Cor.GK.SR.01</t>
  </si>
  <si>
    <t>Set and run</t>
  </si>
  <si>
    <t>check of starch viscocity</t>
  </si>
  <si>
    <t>Cor.SF.CA.03</t>
  </si>
  <si>
    <t>Glue gap parallelism and calibration check</t>
  </si>
  <si>
    <t>Cor.GM.CA.01</t>
  </si>
  <si>
    <t xml:space="preserve">Calibration </t>
  </si>
  <si>
    <t>Calibration glue machine</t>
  </si>
  <si>
    <t>Cor.GK.SR.02</t>
  </si>
  <si>
    <t>Check of gel point</t>
  </si>
  <si>
    <t>Cor.SF.CA.04</t>
  </si>
  <si>
    <t xml:space="preserve">Corrugating rolls and iodine soak off </t>
  </si>
  <si>
    <t>Corrugating rolls and pressure roll calibration</t>
  </si>
  <si>
    <t>Cor.GM.SR.01</t>
  </si>
  <si>
    <t>Paper threading on the glue machine</t>
  </si>
  <si>
    <t>Cor.SC.BC.01</t>
  </si>
  <si>
    <t>Condition for steam condensate control</t>
  </si>
  <si>
    <t>Cor.SF.SR.01</t>
  </si>
  <si>
    <t>Paper threading in the single facer</t>
  </si>
  <si>
    <t>Hotplates</t>
  </si>
  <si>
    <t>Cor.DF.BC.01</t>
  </si>
  <si>
    <t>Basic conditions of the hotplate and blanket</t>
  </si>
  <si>
    <t>Basic conditions of the double facer</t>
  </si>
  <si>
    <t>Cor.SC.BC.02</t>
  </si>
  <si>
    <t>Conditions for good condensate evacuation</t>
  </si>
  <si>
    <t>Cor.SF.SR.02</t>
  </si>
  <si>
    <t>Process temperature checks in the single facer</t>
  </si>
  <si>
    <t>Cor.DF.CA.01</t>
  </si>
  <si>
    <t>Check blanket</t>
  </si>
  <si>
    <t>Check double facer</t>
  </si>
  <si>
    <t>Reel stands and Splicer units</t>
  </si>
  <si>
    <t>Cor.RS.BC.01</t>
  </si>
  <si>
    <t>Centre lining</t>
  </si>
  <si>
    <t>Cor.SF.SR.03</t>
  </si>
  <si>
    <t>Corri roll hydraulic pressure settings</t>
  </si>
  <si>
    <t>Pressure roll settings</t>
  </si>
  <si>
    <t>Rotary shear</t>
  </si>
  <si>
    <t>Basic condition Rotary shear</t>
  </si>
  <si>
    <t>Cor.RS.BC.02</t>
  </si>
  <si>
    <t>Critical attention points, reel stands and splicers</t>
  </si>
  <si>
    <t>Cor.SF.SR.05</t>
  </si>
  <si>
    <t>Steam pressure control in the single facer</t>
  </si>
  <si>
    <t>Critical attention points rotary shear</t>
  </si>
  <si>
    <t>Reel Store paper quality</t>
  </si>
  <si>
    <t>Cor.RS.SR.01</t>
  </si>
  <si>
    <t>Paper reel feeding in the reel stand</t>
  </si>
  <si>
    <t>Cor.SF.SR.06</t>
  </si>
  <si>
    <t>External cassette exchange critical points for attention</t>
  </si>
  <si>
    <t>SRV</t>
  </si>
  <si>
    <t>Cor.SS.BC.01</t>
  </si>
  <si>
    <t xml:space="preserve">Slitter scorer condition </t>
  </si>
  <si>
    <t>Cor.RS.SR.02</t>
  </si>
  <si>
    <t>Paper threading in the splicer</t>
  </si>
  <si>
    <t>Cor.SF.SR.07</t>
  </si>
  <si>
    <t>Glue application settings</t>
  </si>
  <si>
    <t>Cor.CK.BC.01</t>
  </si>
  <si>
    <t>Condition cut off knife</t>
  </si>
  <si>
    <t>Cor.RS.SR.03</t>
  </si>
  <si>
    <t>Splice preparation</t>
  </si>
  <si>
    <t>Cor.SF.SR.08</t>
  </si>
  <si>
    <t>Glue unit enclosure, glue level and dams position</t>
  </si>
  <si>
    <t>Cor.CK.CA.01</t>
  </si>
  <si>
    <t>Calibration cut off knife</t>
  </si>
  <si>
    <t>Cor.RS.SR.04</t>
  </si>
  <si>
    <t>Paper tension control in the splicer</t>
  </si>
  <si>
    <t>Cor.SF.SR.09</t>
  </si>
  <si>
    <t>Bridge control loop formation and amount</t>
  </si>
  <si>
    <t>Stacker</t>
  </si>
  <si>
    <t>Cor.ST.BC.01</t>
  </si>
  <si>
    <t>Stacker basic condition</t>
  </si>
  <si>
    <t>Cor.SF.BC.01</t>
  </si>
  <si>
    <t>Critical attention points on the single facer</t>
  </si>
  <si>
    <t>Bridge brake</t>
  </si>
  <si>
    <t>Cor.WB.BC.01</t>
  </si>
  <si>
    <t>Critical attention points on the web brakes</t>
  </si>
  <si>
    <t>Cor.ST.CA.01</t>
  </si>
  <si>
    <t>Stacker calibration check</t>
  </si>
  <si>
    <t>Cor.SF.BC.02</t>
  </si>
  <si>
    <t>Critical attention points on the glue unit</t>
  </si>
  <si>
    <t>Cor.WG.BC.01</t>
  </si>
  <si>
    <t>Critical attention points on the web guides</t>
  </si>
  <si>
    <t>Cor.ST.SR.01</t>
  </si>
  <si>
    <t>Quality checks at the stacker 1</t>
  </si>
  <si>
    <t>Cor.SF.BC.03</t>
  </si>
  <si>
    <t>Scraper blade, cooling bar and glue dams condition</t>
  </si>
  <si>
    <t>Cor.WG.SR.02</t>
  </si>
  <si>
    <t>Paper threading in the web brakes</t>
  </si>
  <si>
    <t>Cor.ST.SR.02</t>
  </si>
  <si>
    <t>Quality checks at the stacker 2</t>
  </si>
  <si>
    <t>Cor.SF.BC.04</t>
  </si>
  <si>
    <t>Incline conveyor belt condition</t>
  </si>
  <si>
    <t>Triplex</t>
  </si>
  <si>
    <t>Cor.TP.BC.01</t>
  </si>
  <si>
    <t>Critical attention points at the triplex pre heater</t>
  </si>
  <si>
    <t>Cor.ST.SR.03</t>
  </si>
  <si>
    <t>Setting at the stacker</t>
  </si>
  <si>
    <t>Cor.SF.BC.05</t>
  </si>
  <si>
    <t>Band leader condition</t>
  </si>
  <si>
    <t>Cor.TP.CA.01</t>
  </si>
  <si>
    <t>Calibration triplex pre heater</t>
  </si>
  <si>
    <t>Tape machine</t>
  </si>
  <si>
    <t>Cor.TT.BC.01</t>
  </si>
  <si>
    <t>Basic conditions for tear tape applicator</t>
  </si>
  <si>
    <t>Cor.SF.CA.01</t>
  </si>
  <si>
    <t>Cor.TP.SR.01</t>
  </si>
  <si>
    <t>Paper threading in the triplex pre heater</t>
  </si>
  <si>
    <t>Starch kitchen</t>
  </si>
  <si>
    <t>Paper gap parallelism</t>
  </si>
  <si>
    <t>Pre Heater surface temp checks</t>
  </si>
  <si>
    <t>NQM</t>
  </si>
  <si>
    <r>
      <t xml:space="preserve">Band leader stop function check </t>
    </r>
    <r>
      <rPr>
        <sz val="11"/>
        <color theme="1"/>
        <rFont val="Aptos Narrow"/>
        <family val="2"/>
        <scheme val="minor"/>
      </rPr>
      <t>(both)</t>
    </r>
  </si>
  <si>
    <t>`</t>
  </si>
  <si>
    <t>Hydraulic oil level in facer (MF &amp; MCF)</t>
  </si>
  <si>
    <t>Clean paper path rollers (all)</t>
  </si>
  <si>
    <t>Nap foil condition (all)</t>
  </si>
  <si>
    <t>Reel stand chucks clean (all)</t>
  </si>
  <si>
    <t>Glue tray felt and omega seals (MF &amp; MCF)</t>
  </si>
  <si>
    <t>Glue tray vacuum inlet pipe condition (MF &amp; MCF)</t>
  </si>
  <si>
    <t>Facer glue tray scraper blade condition (MF &amp; MCF)</t>
  </si>
  <si>
    <t>Teflon bar clean and condition (MF &amp; MCF)</t>
  </si>
  <si>
    <t>Cooling bar and chiller check (MF &amp; MCF)</t>
  </si>
  <si>
    <t>Glue dam wear and lubrication (MF &amp; MCF)</t>
  </si>
  <si>
    <t>Incline belt check (MF &amp; MCF)</t>
  </si>
  <si>
    <t>6 Weeks + checks engineering checks</t>
  </si>
  <si>
    <t>MF</t>
  </si>
  <si>
    <t>MCF</t>
  </si>
  <si>
    <t>B</t>
  </si>
  <si>
    <t>C</t>
  </si>
  <si>
    <t>Viscosity °C</t>
  </si>
  <si>
    <t>OK</t>
  </si>
  <si>
    <t>Not OK</t>
  </si>
  <si>
    <t>Not Done</t>
  </si>
  <si>
    <t>Full</t>
  </si>
  <si>
    <t>1/4 Full</t>
  </si>
  <si>
    <t>1/2 Full</t>
  </si>
  <si>
    <t>Empty</t>
  </si>
  <si>
    <t>Splicer 1</t>
  </si>
  <si>
    <t>Hydraulic oil level in reel stands (all)</t>
  </si>
  <si>
    <t>Initials</t>
  </si>
  <si>
    <t>Viscosity secs</t>
  </si>
  <si>
    <t>Splicer 2</t>
  </si>
  <si>
    <t xml:space="preserve">Splicer 3 </t>
  </si>
  <si>
    <t>Splicer 4</t>
  </si>
  <si>
    <t>Splicer 5</t>
  </si>
  <si>
    <t>Backer</t>
  </si>
  <si>
    <t>Cleaned</t>
  </si>
  <si>
    <t xml:space="preserve">Yes </t>
  </si>
  <si>
    <t>No</t>
  </si>
  <si>
    <t>8 hours</t>
  </si>
  <si>
    <t>Top Guide</t>
  </si>
  <si>
    <t>Bottom Guide</t>
  </si>
  <si>
    <t>Check</t>
  </si>
  <si>
    <t>Good</t>
  </si>
  <si>
    <t>Flute</t>
  </si>
  <si>
    <t>Grade</t>
  </si>
  <si>
    <t>Side</t>
  </si>
  <si>
    <t>Quality</t>
  </si>
  <si>
    <t>Needs Attention</t>
  </si>
  <si>
    <t>Rel @ 30°C</t>
  </si>
  <si>
    <t>E</t>
  </si>
  <si>
    <t>S</t>
  </si>
  <si>
    <t>BE</t>
  </si>
  <si>
    <t>BS</t>
  </si>
  <si>
    <t>Ops</t>
  </si>
  <si>
    <t>Drive</t>
  </si>
  <si>
    <t>Uneven</t>
  </si>
  <si>
    <t>Heavy</t>
  </si>
  <si>
    <t>Light</t>
  </si>
  <si>
    <t>Check log sheet</t>
  </si>
  <si>
    <t>Value 1</t>
  </si>
  <si>
    <t>Value 2</t>
  </si>
  <si>
    <t>Value 3</t>
  </si>
  <si>
    <t>Value 4</t>
  </si>
  <si>
    <t>Value 5</t>
  </si>
  <si>
    <t xml:space="preserve">Initial </t>
  </si>
  <si>
    <t>Check values</t>
  </si>
  <si>
    <t>Bottom</t>
  </si>
  <si>
    <t>Top</t>
  </si>
  <si>
    <t>Ops side</t>
  </si>
  <si>
    <t>Middle</t>
  </si>
  <si>
    <t>Drive side</t>
  </si>
  <si>
    <t>Weekly Checks</t>
  </si>
  <si>
    <t>Daily Checks</t>
  </si>
  <si>
    <t>Facers (secs)</t>
  </si>
  <si>
    <t>Backer (secs)</t>
  </si>
  <si>
    <t>Monthly Checks</t>
  </si>
  <si>
    <t>Temp</t>
  </si>
  <si>
    <t>Wrap and paper path roller allignment check</t>
  </si>
  <si>
    <t>Monthly</t>
  </si>
  <si>
    <t>time stamp</t>
  </si>
  <si>
    <t>Reel stand brake condition and balance check</t>
  </si>
  <si>
    <t>dh</t>
  </si>
  <si>
    <t>Time stamp</t>
  </si>
  <si>
    <t>Check Values</t>
  </si>
  <si>
    <t>Time Stamp</t>
  </si>
  <si>
    <t>Next Due</t>
  </si>
  <si>
    <t>Daily - 8 hours</t>
  </si>
  <si>
    <t>Daily - 3.5 hours</t>
  </si>
  <si>
    <t>Daily - 24 hours</t>
  </si>
  <si>
    <t>Last weekly reset</t>
  </si>
  <si>
    <t>Last monthly reset</t>
  </si>
  <si>
    <t>Last 12-week reset</t>
  </si>
  <si>
    <t>Last 6-week reset</t>
  </si>
  <si>
    <t>Last 24-week reset</t>
  </si>
  <si>
    <t>Source</t>
  </si>
  <si>
    <t>Date &amp; Time</t>
  </si>
  <si>
    <t>LogDate</t>
  </si>
  <si>
    <t>LogMonth</t>
  </si>
  <si>
    <t>WeekNum</t>
  </si>
  <si>
    <t>Year</t>
  </si>
  <si>
    <t>Quarter</t>
  </si>
  <si>
    <t>Current Month</t>
  </si>
  <si>
    <t>Crrent Year</t>
  </si>
  <si>
    <t>Current Quarter</t>
  </si>
  <si>
    <t>Daily Completed</t>
  </si>
  <si>
    <t>Daily Expected</t>
  </si>
  <si>
    <t>Daily %</t>
  </si>
  <si>
    <t>Weekly completed</t>
  </si>
  <si>
    <t>Weekly Expected</t>
  </si>
  <si>
    <t>Weekly %</t>
  </si>
  <si>
    <t>Monthly Completed</t>
  </si>
  <si>
    <t>Monthly Expected</t>
  </si>
  <si>
    <t>Monthly %</t>
  </si>
  <si>
    <t>Weekly Completion Rate</t>
  </si>
  <si>
    <t>Daily Completion Rate</t>
  </si>
  <si>
    <t>Monthly Completion Rate</t>
  </si>
  <si>
    <t>Row Labels</t>
  </si>
  <si>
    <t>Jun</t>
  </si>
  <si>
    <t>Jul</t>
  </si>
  <si>
    <t>Date</t>
  </si>
  <si>
    <t>CheckCount</t>
  </si>
  <si>
    <t>CompletedDailyChecks</t>
  </si>
  <si>
    <t>Completion Rate</t>
  </si>
  <si>
    <t>Month</t>
  </si>
  <si>
    <t>Q3</t>
  </si>
  <si>
    <t>Daily Completion Rate Chart Data</t>
  </si>
  <si>
    <t>Weekly Completion rate chart Data</t>
  </si>
  <si>
    <t>6+Weeks Completed</t>
  </si>
  <si>
    <t>6+Weeks Expected</t>
  </si>
  <si>
    <t>Monthly Completion Rate Chart Data</t>
  </si>
  <si>
    <t>Sum of Monthly Completion Rate</t>
  </si>
  <si>
    <t>Last Checked</t>
  </si>
  <si>
    <t xml:space="preserve">Target: </t>
  </si>
  <si>
    <t xml:space="preserve">Achieved: </t>
  </si>
  <si>
    <t>Completion Rate Dashboard</t>
  </si>
  <si>
    <t>Last Reset Time</t>
  </si>
  <si>
    <t>Aug</t>
  </si>
  <si>
    <t>Site X Corrugator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</si>
</sst>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dd/yyyy\ hh:mm\ AM/PM"/>
    <numFmt numFmtId="165" formatCode="[$-409]h:mm:ss\ AM/PM;@"/>
    <numFmt numFmtId="166" formatCode="0\°\C"/>
    <numFmt numFmtId="167" formatCode="dd/mm/yy;@"/>
    <numFmt numFmtId="168" formatCode="dd/mm/yyyy\ hh:mm\ AM/PM"/>
    <numFmt numFmtId="169" formatCode="dd\.mm\.yyyy\ hh:mm"/>
    <numFmt numFmtId="170" formatCode="dd/mm/yyyy\ hh:mm:ss"/>
  </numFmts>
  <fonts count="51" x14ac:knownFonts="1">
    <font>
      <sz val="11"/>
      <color theme="1"/>
      <name val="Aptos Narrow"/>
      <family val="2"/>
      <scheme val="minor"/>
    </font>
    <font>
      <b/>
      <sz val="18"/>
      <color theme="0"/>
      <name val="Arial"/>
      <family val="2"/>
    </font>
    <font>
      <b/>
      <sz val="18"/>
      <color theme="1"/>
      <name val="Aptos Narrow"/>
      <family val="2"/>
      <scheme val="minor"/>
    </font>
    <font>
      <sz val="14"/>
      <color theme="1"/>
      <name val="Aptos Narrow"/>
      <family val="2"/>
      <scheme val="minor"/>
    </font>
    <font>
      <b/>
      <sz val="20"/>
      <color theme="1"/>
      <name val="Aptos Narrow"/>
      <family val="2"/>
      <scheme val="minor"/>
    </font>
    <font>
      <b/>
      <sz val="22"/>
      <color theme="1"/>
      <name val="Aptos Narrow"/>
      <family val="2"/>
      <scheme val="minor"/>
    </font>
    <font>
      <sz val="14"/>
      <color theme="0"/>
      <name val="Aptos Narrow"/>
      <family val="2"/>
      <scheme val="minor"/>
    </font>
    <font>
      <u/>
      <sz val="11"/>
      <color theme="10"/>
      <name val="Aptos Narrow"/>
      <family val="2"/>
      <scheme val="minor"/>
    </font>
    <font>
      <sz val="14"/>
      <name val="Aptos Narrow"/>
      <family val="2"/>
      <scheme val="minor"/>
    </font>
    <font>
      <sz val="11"/>
      <name val="Aptos Narrow"/>
      <family val="2"/>
      <scheme val="minor"/>
    </font>
    <font>
      <u/>
      <sz val="16"/>
      <name val="Aptos Narrow"/>
      <family val="2"/>
      <scheme val="minor"/>
    </font>
    <font>
      <sz val="16"/>
      <color theme="1"/>
      <name val="Aptos Narrow"/>
      <family val="2"/>
      <scheme val="minor"/>
    </font>
    <font>
      <b/>
      <sz val="48"/>
      <color theme="0"/>
      <name val="Calibri"/>
      <family val="2"/>
    </font>
    <font>
      <b/>
      <sz val="22"/>
      <name val="Calibri"/>
      <family val="2"/>
    </font>
    <font>
      <b/>
      <sz val="20"/>
      <name val="Aptos Narrow"/>
      <family val="2"/>
      <scheme val="minor"/>
    </font>
    <font>
      <sz val="16"/>
      <name val="Aptos Narrow"/>
      <family val="2"/>
      <scheme val="minor"/>
    </font>
    <font>
      <b/>
      <sz val="26"/>
      <color theme="1"/>
      <name val="Aptos Narrow"/>
      <family val="2"/>
      <scheme val="minor"/>
    </font>
    <font>
      <sz val="8"/>
      <name val="Aptos Narrow"/>
      <family val="2"/>
      <scheme val="minor"/>
    </font>
    <font>
      <u/>
      <sz val="12"/>
      <color theme="7"/>
      <name val="Aptos Narrow"/>
      <family val="2"/>
      <scheme val="minor"/>
    </font>
    <font>
      <sz val="12"/>
      <name val="Aptos Narrow"/>
      <family val="2"/>
      <scheme val="minor"/>
    </font>
    <font>
      <b/>
      <sz val="26"/>
      <color theme="0"/>
      <name val="Arial"/>
      <family val="2"/>
    </font>
    <font>
      <b/>
      <sz val="16"/>
      <name val="Aptos Narrow"/>
      <family val="2"/>
      <scheme val="minor"/>
    </font>
    <font>
      <b/>
      <sz val="22"/>
      <name val="Aptos Narrow"/>
      <family val="2"/>
      <scheme val="minor"/>
    </font>
    <font>
      <sz val="18"/>
      <color theme="0"/>
      <name val="Arial"/>
      <family val="2"/>
    </font>
    <font>
      <sz val="12"/>
      <color theme="1"/>
      <name val="Aptos Narrow"/>
      <family val="2"/>
      <scheme val="minor"/>
    </font>
    <font>
      <b/>
      <sz val="16"/>
      <color theme="1"/>
      <name val="Aptos Narrow"/>
      <family val="2"/>
      <scheme val="minor"/>
    </font>
    <font>
      <sz val="18"/>
      <color theme="1"/>
      <name val="Aptos Narrow"/>
      <family val="2"/>
      <scheme val="minor"/>
    </font>
    <font>
      <b/>
      <sz val="28"/>
      <color theme="0"/>
      <name val="Arial"/>
      <family val="2"/>
    </font>
    <font>
      <sz val="10"/>
      <color theme="1"/>
      <name val="Aptos Narrow"/>
      <family val="2"/>
      <scheme val="minor"/>
    </font>
    <font>
      <b/>
      <sz val="10"/>
      <color theme="1"/>
      <name val="Aptos Narrow"/>
      <family val="2"/>
      <scheme val="minor"/>
    </font>
    <font>
      <u/>
      <sz val="16"/>
      <name val="Aptos Display"/>
      <family val="2"/>
      <scheme val="major"/>
    </font>
    <font>
      <b/>
      <sz val="11"/>
      <color theme="1"/>
      <name val="Aptos Narrow"/>
      <family val="2"/>
      <scheme val="minor"/>
    </font>
    <font>
      <sz val="11"/>
      <color theme="1"/>
      <name val="Aptos Narrow"/>
      <family val="2"/>
      <scheme val="minor"/>
    </font>
    <font>
      <sz val="22"/>
      <color theme="1"/>
      <name val="Aptos Narrow"/>
      <family val="2"/>
      <scheme val="minor"/>
    </font>
    <font>
      <sz val="22"/>
      <name val="Aptos Narrow"/>
      <family val="2"/>
      <scheme val="minor"/>
    </font>
    <font>
      <b/>
      <sz val="12"/>
      <name val="Aptos Narrow"/>
      <family val="2"/>
      <scheme val="minor"/>
    </font>
    <font>
      <b/>
      <u/>
      <sz val="12"/>
      <color theme="7"/>
      <name val="Aptos Narrow"/>
      <family val="2"/>
      <scheme val="minor"/>
    </font>
    <font>
      <b/>
      <sz val="28"/>
      <color theme="1"/>
      <name val="Aptos Narrow"/>
      <family val="2"/>
      <scheme val="minor"/>
    </font>
    <font>
      <b/>
      <sz val="11"/>
      <color rgb="FF0070C0"/>
      <name val="Aptos Narrow"/>
      <family val="2"/>
      <scheme val="minor"/>
    </font>
    <font>
      <b/>
      <sz val="12"/>
      <color theme="1"/>
      <name val="Aptos Narrow"/>
      <family val="2"/>
      <scheme val="minor"/>
    </font>
    <font>
      <b/>
      <u/>
      <sz val="16"/>
      <color theme="1"/>
      <name val="Aptos Narrow"/>
      <family val="2"/>
      <scheme val="minor"/>
    </font>
    <font>
      <b/>
      <sz val="10"/>
      <color rgb="FF0070C0"/>
      <name val="Aptos Narrow"/>
      <family val="2"/>
      <scheme val="minor"/>
    </font>
    <font>
      <sz val="11"/>
      <color theme="0"/>
      <name val="Aptos Narrow"/>
      <family val="2"/>
      <scheme val="minor"/>
    </font>
    <font>
      <u/>
      <sz val="18"/>
      <name val="Aptos Narrow"/>
      <family val="2"/>
      <scheme val="minor"/>
    </font>
    <font>
      <b/>
      <sz val="11"/>
      <color theme="1"/>
      <name val="Aptos Narrow"/>
      <family val="2"/>
      <scheme val="minor"/>
    </font>
    <font>
      <sz val="11"/>
      <color theme="1"/>
      <name val="Aptos Narrow"/>
      <family val="2"/>
      <scheme val="minor"/>
    </font>
    <font>
      <b/>
      <sz val="11"/>
      <color theme="1"/>
      <name val="Aptos Narrow (Body)"/>
    </font>
    <font>
      <b/>
      <sz val="22"/>
      <color theme="1"/>
      <name val="Aptos Narrow"/>
      <family val="2"/>
      <scheme val="minor"/>
    </font>
    <font>
      <sz val="18"/>
      <color theme="1"/>
      <name val="Aptos Narrow"/>
      <family val="2"/>
      <scheme val="minor"/>
    </font>
    <font>
      <b/>
      <sz val="36"/>
      <color theme="1"/>
      <name val="Aptos Narrow"/>
      <family val="2"/>
      <scheme val="minor"/>
    </font>
    <font>
      <b/>
      <sz val="48"/>
      <color theme="0"/>
      <name val="Aptos Narrow"/>
      <family val="2"/>
      <scheme val="minor"/>
    </font>
  </fonts>
  <fills count="7">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6" tint="0.59996337778862885"/>
        <bgColor theme="1"/>
      </patternFill>
    </fill>
    <fill>
      <patternFill patternType="solid">
        <fgColor rgb="FF2BA2D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s>
  <cellStyleXfs count="3">
    <xf numFmtId="0" fontId="0" fillId="0" borderId="0"/>
    <xf numFmtId="0" fontId="7" fillId="0" borderId="0" applyNumberFormat="0" applyFill="0" applyBorder="0" applyAlignment="0" applyProtection="0"/>
    <xf numFmtId="9" fontId="32" fillId="0" borderId="0" applyFont="0" applyFill="0" applyBorder="0" applyAlignment="0" applyProtection="0"/>
  </cellStyleXfs>
  <cellXfs count="187">
    <xf numFmtId="0" fontId="0" fillId="0" borderId="0" xfId="0"/>
    <xf numFmtId="0" fontId="0" fillId="0" borderId="0" xfId="0" applyAlignment="1">
      <alignment horizontal="center"/>
    </xf>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2" fillId="0" borderId="0" xfId="0" applyFont="1" applyAlignment="1">
      <alignment horizontal="center"/>
    </xf>
    <xf numFmtId="0" fontId="0" fillId="2" borderId="0" xfId="0" applyFill="1"/>
    <xf numFmtId="0" fontId="4" fillId="0" borderId="0" xfId="0" applyFont="1" applyAlignment="1">
      <alignment horizontal="center"/>
    </xf>
    <xf numFmtId="0" fontId="11" fillId="0" borderId="0" xfId="0" applyFont="1"/>
    <xf numFmtId="0" fontId="10" fillId="3" borderId="0" xfId="1" applyFont="1" applyFill="1" applyBorder="1"/>
    <xf numFmtId="0" fontId="9" fillId="3" borderId="0" xfId="0" applyFont="1" applyFill="1" applyAlignment="1">
      <alignment horizontal="center"/>
    </xf>
    <xf numFmtId="0" fontId="14" fillId="3" borderId="0" xfId="0" applyFont="1" applyFill="1" applyAlignment="1">
      <alignment vertical="top"/>
    </xf>
    <xf numFmtId="0" fontId="14" fillId="3" borderId="0" xfId="0" applyFont="1" applyFill="1" applyAlignment="1">
      <alignment horizontal="center" vertical="top"/>
    </xf>
    <xf numFmtId="0" fontId="16" fillId="0" borderId="0" xfId="0" applyFont="1"/>
    <xf numFmtId="0" fontId="8" fillId="0" borderId="0" xfId="0" applyFont="1"/>
    <xf numFmtId="0" fontId="15" fillId="0" borderId="0" xfId="1" applyFont="1"/>
    <xf numFmtId="0" fontId="10" fillId="3" borderId="0" xfId="1" applyFont="1" applyFill="1" applyBorder="1" applyAlignment="1">
      <alignment horizontal="left"/>
    </xf>
    <xf numFmtId="0" fontId="10" fillId="0" borderId="0" xfId="1" applyFont="1"/>
    <xf numFmtId="164" fontId="0" fillId="0" borderId="0" xfId="0" applyNumberFormat="1" applyProtection="1">
      <protection locked="0"/>
    </xf>
    <xf numFmtId="0" fontId="0" fillId="0" borderId="0" xfId="0" applyProtection="1">
      <protection locked="0"/>
    </xf>
    <xf numFmtId="0" fontId="22" fillId="0" borderId="0" xfId="1" applyFont="1" applyAlignment="1" applyProtection="1"/>
    <xf numFmtId="0" fontId="2" fillId="0" borderId="0" xfId="0" applyFont="1" applyProtection="1">
      <protection locked="0"/>
    </xf>
    <xf numFmtId="0" fontId="23" fillId="0" borderId="0" xfId="0" applyFont="1" applyAlignment="1" applyProtection="1">
      <alignment vertical="center"/>
      <protection locked="0"/>
    </xf>
    <xf numFmtId="0" fontId="22" fillId="0" borderId="0" xfId="1" applyFont="1" applyAlignment="1" applyProtection="1">
      <alignment horizontal="center"/>
    </xf>
    <xf numFmtId="0" fontId="24" fillId="0" borderId="0" xfId="0" applyFont="1"/>
    <xf numFmtId="0" fontId="0" fillId="0" borderId="0" xfId="0" applyAlignment="1" applyProtection="1">
      <alignment horizontal="left" vertical="center"/>
      <protection locked="0"/>
    </xf>
    <xf numFmtId="164" fontId="2" fillId="0" borderId="0" xfId="0" applyNumberFormat="1" applyFont="1" applyProtection="1">
      <protection locked="0"/>
    </xf>
    <xf numFmtId="0" fontId="20" fillId="2" borderId="0" xfId="0" applyFont="1" applyFill="1" applyAlignment="1">
      <alignment vertical="center"/>
    </xf>
    <xf numFmtId="0" fontId="20" fillId="0" borderId="0" xfId="0" applyFont="1" applyAlignment="1">
      <alignment vertical="center"/>
    </xf>
    <xf numFmtId="0" fontId="2" fillId="0" borderId="1" xfId="0" applyFont="1" applyBorder="1"/>
    <xf numFmtId="0" fontId="26" fillId="0" borderId="0" xfId="0" applyFont="1"/>
    <xf numFmtId="0" fontId="11" fillId="0" borderId="0" xfId="0" applyFont="1" applyAlignment="1">
      <alignment horizontal="left" vertical="center"/>
    </xf>
    <xf numFmtId="0" fontId="11" fillId="0" borderId="0" xfId="0" applyFont="1" applyAlignment="1" applyProtection="1">
      <alignment horizontal="left" vertical="center"/>
      <protection locked="0"/>
    </xf>
    <xf numFmtId="0" fontId="24" fillId="0" borderId="0" xfId="0" applyFont="1" applyAlignment="1">
      <alignment horizontal="center"/>
    </xf>
    <xf numFmtId="0" fontId="0" fillId="0" borderId="1" xfId="0" applyBorder="1"/>
    <xf numFmtId="0" fontId="0" fillId="0" borderId="10" xfId="0" applyBorder="1"/>
    <xf numFmtId="0" fontId="0" fillId="0" borderId="11" xfId="0" applyBorder="1"/>
    <xf numFmtId="0" fontId="6" fillId="3" borderId="0" xfId="0" applyFont="1" applyFill="1" applyProtection="1">
      <protection locked="0"/>
    </xf>
    <xf numFmtId="0" fontId="8" fillId="0" borderId="0" xfId="0" applyFont="1" applyAlignment="1">
      <alignment horizontal="center"/>
    </xf>
    <xf numFmtId="0" fontId="30" fillId="3" borderId="0" xfId="1" applyFont="1" applyFill="1" applyBorder="1"/>
    <xf numFmtId="9" fontId="0" fillId="0" borderId="0" xfId="2" applyFont="1"/>
    <xf numFmtId="9" fontId="0" fillId="0" borderId="0" xfId="2" applyFont="1" applyAlignment="1">
      <alignment horizontal="center"/>
    </xf>
    <xf numFmtId="0" fontId="35" fillId="3" borderId="3" xfId="0" applyFont="1" applyFill="1" applyBorder="1" applyAlignment="1">
      <alignment horizontal="center"/>
    </xf>
    <xf numFmtId="0" fontId="35" fillId="3" borderId="1" xfId="0" applyFont="1" applyFill="1" applyBorder="1" applyAlignment="1">
      <alignment horizontal="center"/>
    </xf>
    <xf numFmtId="0" fontId="35" fillId="3" borderId="1" xfId="1" applyFont="1" applyFill="1" applyBorder="1" applyAlignment="1">
      <alignment horizontal="center"/>
    </xf>
    <xf numFmtId="0" fontId="35" fillId="4" borderId="1" xfId="0" applyFont="1" applyFill="1" applyBorder="1" applyAlignment="1">
      <alignment horizontal="center"/>
    </xf>
    <xf numFmtId="0" fontId="35" fillId="4" borderId="1" xfId="1" applyFont="1" applyFill="1" applyBorder="1" applyAlignment="1">
      <alignment horizontal="center"/>
    </xf>
    <xf numFmtId="0" fontId="36" fillId="4" borderId="1" xfId="1" applyFont="1" applyFill="1" applyBorder="1" applyAlignment="1">
      <alignment horizontal="center"/>
    </xf>
    <xf numFmtId="165" fontId="37" fillId="0" borderId="0" xfId="0" applyNumberFormat="1" applyFont="1" applyAlignment="1">
      <alignment horizontal="center"/>
    </xf>
    <xf numFmtId="0" fontId="39" fillId="4" borderId="1" xfId="0" applyFont="1" applyFill="1" applyBorder="1"/>
    <xf numFmtId="0" fontId="40" fillId="0" borderId="0" xfId="0" applyFont="1"/>
    <xf numFmtId="0" fontId="0" fillId="4" borderId="1" xfId="0" applyFill="1" applyBorder="1"/>
    <xf numFmtId="0" fontId="0" fillId="0" borderId="1" xfId="0" applyBorder="1" applyAlignment="1">
      <alignment horizontal="center"/>
    </xf>
    <xf numFmtId="0" fontId="0" fillId="4" borderId="0" xfId="0" applyFill="1" applyAlignment="1">
      <alignment horizontal="center"/>
    </xf>
    <xf numFmtId="0" fontId="0" fillId="4" borderId="1" xfId="0" applyFill="1" applyBorder="1" applyAlignment="1">
      <alignment horizontal="center"/>
    </xf>
    <xf numFmtId="0" fontId="19" fillId="4" borderId="1" xfId="0" applyFont="1" applyFill="1" applyBorder="1" applyAlignment="1">
      <alignment horizontal="left"/>
    </xf>
    <xf numFmtId="0" fontId="18" fillId="4" borderId="1" xfId="1" applyFont="1" applyFill="1" applyBorder="1" applyAlignment="1">
      <alignment horizontal="center"/>
    </xf>
    <xf numFmtId="0" fontId="0" fillId="4" borderId="3" xfId="0" applyFill="1" applyBorder="1" applyAlignment="1">
      <alignment horizontal="center"/>
    </xf>
    <xf numFmtId="0" fontId="35" fillId="3" borderId="16" xfId="0" applyFont="1" applyFill="1" applyBorder="1" applyAlignment="1">
      <alignment horizontal="center"/>
    </xf>
    <xf numFmtId="0" fontId="19" fillId="4" borderId="1" xfId="0" applyFont="1" applyFill="1" applyBorder="1" applyAlignment="1">
      <alignment horizontal="center"/>
    </xf>
    <xf numFmtId="0" fontId="41" fillId="3" borderId="1" xfId="0" applyFont="1" applyFill="1" applyBorder="1" applyAlignment="1">
      <alignment horizontal="center"/>
    </xf>
    <xf numFmtId="165" fontId="16" fillId="0" borderId="0" xfId="0" applyNumberFormat="1" applyFont="1" applyAlignment="1">
      <alignment horizontal="center"/>
    </xf>
    <xf numFmtId="19" fontId="0" fillId="0" borderId="0" xfId="0" applyNumberFormat="1"/>
    <xf numFmtId="0" fontId="1" fillId="0" borderId="0" xfId="0" applyFont="1" applyAlignment="1">
      <alignment horizontal="center" vertical="center"/>
    </xf>
    <xf numFmtId="19" fontId="1" fillId="0" borderId="0" xfId="0" applyNumberFormat="1" applyFont="1" applyAlignment="1">
      <alignment horizontal="center" vertical="center"/>
    </xf>
    <xf numFmtId="0" fontId="41" fillId="0" borderId="0" xfId="0" applyFont="1" applyAlignment="1">
      <alignment horizontal="center"/>
    </xf>
    <xf numFmtId="0" fontId="24" fillId="4" borderId="1" xfId="0" applyFont="1" applyFill="1" applyBorder="1" applyAlignment="1">
      <alignment horizontal="center"/>
    </xf>
    <xf numFmtId="0" fontId="18" fillId="4" borderId="1" xfId="1" applyFont="1" applyFill="1" applyBorder="1" applyAlignment="1">
      <alignment horizontal="left"/>
    </xf>
    <xf numFmtId="0" fontId="37" fillId="0" borderId="0" xfId="0" applyFont="1" applyAlignment="1">
      <alignment horizontal="center"/>
    </xf>
    <xf numFmtId="166" fontId="0" fillId="0" borderId="1" xfId="0" applyNumberFormat="1" applyBorder="1" applyAlignment="1">
      <alignment horizontal="center"/>
    </xf>
    <xf numFmtId="0" fontId="42" fillId="0" borderId="0" xfId="0" applyFont="1"/>
    <xf numFmtId="0" fontId="42" fillId="0" borderId="0" xfId="0" applyFont="1" applyAlignment="1">
      <alignment horizontal="center"/>
    </xf>
    <xf numFmtId="16" fontId="0" fillId="0" borderId="0" xfId="0" applyNumberFormat="1"/>
    <xf numFmtId="0" fontId="9" fillId="3" borderId="0" xfId="0" applyFont="1" applyFill="1" applyAlignment="1">
      <alignment horizontal="center" vertical="top"/>
    </xf>
    <xf numFmtId="0" fontId="3" fillId="0" borderId="0" xfId="0" applyFont="1" applyAlignment="1">
      <alignment horizontal="center"/>
    </xf>
    <xf numFmtId="167" fontId="0" fillId="0" borderId="1" xfId="0" applyNumberFormat="1" applyBorder="1" applyAlignment="1">
      <alignment horizontal="center"/>
    </xf>
    <xf numFmtId="0" fontId="0" fillId="0" borderId="1" xfId="0" applyBorder="1" applyAlignment="1" applyProtection="1">
      <alignment horizontal="center"/>
      <protection locked="0"/>
    </xf>
    <xf numFmtId="0" fontId="41" fillId="3" borderId="1" xfId="0" applyFont="1" applyFill="1" applyBorder="1" applyAlignment="1" applyProtection="1">
      <alignment horizontal="center"/>
      <protection locked="0"/>
    </xf>
    <xf numFmtId="0" fontId="41" fillId="3" borderId="2" xfId="0" applyFont="1" applyFill="1" applyBorder="1" applyAlignment="1" applyProtection="1">
      <alignment horizontal="center"/>
      <protection locked="0"/>
    </xf>
    <xf numFmtId="0" fontId="28" fillId="4" borderId="1" xfId="0" applyFont="1" applyFill="1" applyBorder="1" applyAlignment="1" applyProtection="1">
      <alignment horizontal="center"/>
      <protection locked="0"/>
    </xf>
    <xf numFmtId="0" fontId="28" fillId="4" borderId="2" xfId="0" applyFont="1" applyFill="1" applyBorder="1" applyAlignment="1" applyProtection="1">
      <alignment horizontal="center"/>
      <protection locked="0"/>
    </xf>
    <xf numFmtId="0" fontId="28" fillId="4" borderId="0" xfId="0" applyFont="1" applyFill="1" applyAlignment="1" applyProtection="1">
      <alignment horizontal="center"/>
      <protection locked="0"/>
    </xf>
    <xf numFmtId="0" fontId="28" fillId="0" borderId="16" xfId="0" applyFont="1" applyBorder="1" applyAlignment="1" applyProtection="1">
      <alignment horizontal="center"/>
      <protection locked="0"/>
    </xf>
    <xf numFmtId="0" fontId="28" fillId="4" borderId="1" xfId="0" applyFont="1" applyFill="1" applyBorder="1" applyProtection="1">
      <protection locked="0"/>
    </xf>
    <xf numFmtId="0" fontId="6" fillId="0" borderId="0" xfId="0" applyFont="1" applyProtection="1">
      <protection locked="0"/>
    </xf>
    <xf numFmtId="0" fontId="38" fillId="3" borderId="1" xfId="0" applyFont="1" applyFill="1" applyBorder="1" applyAlignment="1" applyProtection="1">
      <alignment horizontal="center"/>
      <protection locked="0"/>
    </xf>
    <xf numFmtId="0" fontId="41" fillId="3" borderId="3" xfId="0" applyFont="1" applyFill="1" applyBorder="1" applyAlignment="1" applyProtection="1">
      <alignment horizontal="center"/>
      <protection locked="0"/>
    </xf>
    <xf numFmtId="0" fontId="41" fillId="3" borderId="1" xfId="1" applyFont="1" applyFill="1" applyBorder="1" applyAlignment="1" applyProtection="1">
      <alignment horizontal="center"/>
      <protection locked="0"/>
    </xf>
    <xf numFmtId="0" fontId="29" fillId="4" borderId="1" xfId="0" applyFont="1" applyFill="1" applyBorder="1" applyProtection="1">
      <protection locked="0"/>
    </xf>
    <xf numFmtId="0" fontId="41" fillId="4" borderId="1" xfId="0" applyFont="1" applyFill="1" applyBorder="1" applyAlignment="1" applyProtection="1">
      <alignment horizontal="center"/>
      <protection locked="0"/>
    </xf>
    <xf numFmtId="0" fontId="41" fillId="4" borderId="3" xfId="0" applyFont="1" applyFill="1" applyBorder="1" applyAlignment="1" applyProtection="1">
      <alignment horizontal="center"/>
      <protection locked="0"/>
    </xf>
    <xf numFmtId="0" fontId="43" fillId="3" borderId="0" xfId="1" applyFont="1" applyFill="1" applyBorder="1"/>
    <xf numFmtId="22" fontId="0" fillId="0" borderId="0" xfId="0" applyNumberFormat="1"/>
    <xf numFmtId="168" fontId="0" fillId="0" borderId="1" xfId="0" applyNumberFormat="1" applyBorder="1" applyAlignment="1">
      <alignment horizontal="center"/>
    </xf>
    <xf numFmtId="168" fontId="0" fillId="0" borderId="1" xfId="0" applyNumberFormat="1" applyBorder="1" applyAlignment="1" applyProtection="1">
      <alignment horizontal="center"/>
      <protection locked="0"/>
    </xf>
    <xf numFmtId="22" fontId="44" fillId="0" borderId="0" xfId="0" applyNumberFormat="1" applyFont="1" applyAlignment="1">
      <alignment horizontal="center"/>
    </xf>
    <xf numFmtId="168" fontId="0" fillId="0" borderId="0" xfId="0" applyNumberFormat="1"/>
    <xf numFmtId="0" fontId="46" fillId="5" borderId="16" xfId="0" applyFont="1" applyFill="1" applyBorder="1"/>
    <xf numFmtId="0" fontId="31" fillId="5" borderId="16" xfId="0" applyFont="1" applyFill="1" applyBorder="1"/>
    <xf numFmtId="14" fontId="0" fillId="0" borderId="0" xfId="0" applyNumberFormat="1"/>
    <xf numFmtId="14" fontId="31" fillId="5" borderId="16" xfId="0" applyNumberFormat="1" applyFont="1" applyFill="1" applyBorder="1"/>
    <xf numFmtId="0" fontId="44" fillId="0" borderId="6" xfId="0" applyFont="1" applyBorder="1" applyAlignment="1">
      <alignment horizontal="center" vertical="center"/>
    </xf>
    <xf numFmtId="0" fontId="44" fillId="0" borderId="7" xfId="0" applyFont="1" applyBorder="1" applyAlignment="1">
      <alignment horizontal="center" vertical="center"/>
    </xf>
    <xf numFmtId="0" fontId="44" fillId="0" borderId="8" xfId="0" applyFont="1" applyBorder="1" applyAlignment="1">
      <alignment horizontal="center" vertic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9" fontId="0" fillId="0" borderId="10" xfId="2" applyFont="1" applyBorder="1" applyAlignment="1">
      <alignment horizontal="center"/>
    </xf>
    <xf numFmtId="0" fontId="0" fillId="0" borderId="0" xfId="0" pivotButton="1"/>
    <xf numFmtId="14" fontId="0" fillId="0" borderId="0" xfId="0" applyNumberFormat="1" applyAlignment="1">
      <alignment horizontal="left"/>
    </xf>
    <xf numFmtId="0" fontId="0" fillId="0" borderId="0" xfId="0" applyAlignment="1">
      <alignment horizontal="left"/>
    </xf>
    <xf numFmtId="9" fontId="0" fillId="0" borderId="0" xfId="0" applyNumberFormat="1"/>
    <xf numFmtId="0" fontId="44" fillId="0" borderId="0" xfId="0" applyFont="1"/>
    <xf numFmtId="0" fontId="44" fillId="0" borderId="1" xfId="0" applyFont="1" applyBorder="1" applyAlignment="1">
      <alignment horizontal="center"/>
    </xf>
    <xf numFmtId="22" fontId="44" fillId="0" borderId="1" xfId="0" applyNumberFormat="1" applyFont="1" applyBorder="1" applyAlignment="1">
      <alignment horizontal="center"/>
    </xf>
    <xf numFmtId="169" fontId="45" fillId="0" borderId="1" xfId="0" applyNumberFormat="1" applyFont="1" applyBorder="1" applyAlignment="1">
      <alignment horizontal="right"/>
    </xf>
    <xf numFmtId="169" fontId="0" fillId="0" borderId="1" xfId="0" applyNumberFormat="1" applyBorder="1"/>
    <xf numFmtId="0" fontId="44" fillId="0" borderId="18" xfId="0" applyFont="1" applyBorder="1"/>
    <xf numFmtId="9" fontId="0" fillId="0" borderId="0" xfId="2" applyFont="1" applyBorder="1" applyAlignment="1">
      <alignment horizontal="center"/>
    </xf>
    <xf numFmtId="0" fontId="48" fillId="6" borderId="0" xfId="0" applyFont="1" applyFill="1" applyAlignment="1">
      <alignment horizontal="right"/>
    </xf>
    <xf numFmtId="0" fontId="48" fillId="6" borderId="0" xfId="0" applyFont="1" applyFill="1" applyAlignment="1">
      <alignment horizontal="left"/>
    </xf>
    <xf numFmtId="9" fontId="49" fillId="6" borderId="0" xfId="0" applyNumberFormat="1" applyFont="1" applyFill="1"/>
    <xf numFmtId="9" fontId="48" fillId="6" borderId="0" xfId="0" applyNumberFormat="1" applyFont="1" applyFill="1" applyAlignment="1">
      <alignment horizontal="left"/>
    </xf>
    <xf numFmtId="17" fontId="0" fillId="2" borderId="0" xfId="0" applyNumberFormat="1" applyFill="1"/>
    <xf numFmtId="16" fontId="0" fillId="2" borderId="0" xfId="0" applyNumberFormat="1" applyFill="1"/>
    <xf numFmtId="0" fontId="0" fillId="6" borderId="23" xfId="0" applyFill="1" applyBorder="1"/>
    <xf numFmtId="9" fontId="49" fillId="6" borderId="24" xfId="0" applyNumberFormat="1" applyFont="1" applyFill="1" applyBorder="1"/>
    <xf numFmtId="0" fontId="0" fillId="6" borderId="24" xfId="0" applyFill="1" applyBorder="1"/>
    <xf numFmtId="170" fontId="0" fillId="0" borderId="19" xfId="0" applyNumberFormat="1" applyBorder="1"/>
    <xf numFmtId="0" fontId="48" fillId="6" borderId="0" xfId="0" applyFont="1" applyFill="1" applyAlignment="1">
      <alignment horizontal="center"/>
    </xf>
    <xf numFmtId="0" fontId="5" fillId="3" borderId="0" xfId="1" applyFont="1" applyFill="1" applyAlignment="1">
      <alignment horizontal="center" vertical="center" wrapText="1"/>
    </xf>
    <xf numFmtId="0" fontId="12" fillId="2" borderId="0" xfId="0" applyFont="1" applyFill="1" applyAlignment="1">
      <alignment horizontal="center" vertical="center"/>
    </xf>
    <xf numFmtId="0" fontId="22" fillId="3" borderId="0" xfId="1" applyFont="1" applyFill="1" applyAlignment="1">
      <alignment horizontal="center" vertical="center" wrapText="1"/>
    </xf>
    <xf numFmtId="0" fontId="13" fillId="3" borderId="0" xfId="1" applyFont="1" applyFill="1" applyAlignment="1">
      <alignment horizontal="center" vertical="center" wrapText="1"/>
    </xf>
    <xf numFmtId="0" fontId="0" fillId="0" borderId="0" xfId="0" applyAlignment="1" applyProtection="1">
      <alignment horizontal="left"/>
      <protection locked="0"/>
    </xf>
    <xf numFmtId="0" fontId="27" fillId="2" borderId="0" xfId="0" applyFont="1" applyFill="1" applyAlignment="1" applyProtection="1">
      <alignment horizontal="center" vertical="center"/>
      <protection locked="0"/>
    </xf>
    <xf numFmtId="0" fontId="11" fillId="0" borderId="2" xfId="0" applyFont="1" applyBorder="1" applyAlignment="1">
      <alignment horizontal="center"/>
    </xf>
    <xf numFmtId="0" fontId="11" fillId="0" borderId="3" xfId="0" applyFont="1" applyBorder="1" applyAlignment="1">
      <alignment horizontal="center"/>
    </xf>
    <xf numFmtId="0" fontId="3" fillId="0" borderId="2" xfId="0" applyFont="1" applyBorder="1" applyAlignment="1">
      <alignment horizontal="left" wrapText="1"/>
    </xf>
    <xf numFmtId="0" fontId="3" fillId="0" borderId="3" xfId="0" applyFont="1" applyBorder="1" applyAlignment="1">
      <alignment horizontal="left" wrapText="1"/>
    </xf>
    <xf numFmtId="0" fontId="11" fillId="0" borderId="1" xfId="0" applyFont="1" applyBorder="1" applyAlignment="1">
      <alignment horizontal="center"/>
    </xf>
    <xf numFmtId="0" fontId="3" fillId="0" borderId="2" xfId="0" applyFont="1" applyBorder="1" applyAlignment="1">
      <alignment horizontal="left"/>
    </xf>
    <xf numFmtId="0" fontId="3" fillId="0" borderId="3" xfId="0" applyFont="1" applyBorder="1" applyAlignment="1">
      <alignment horizontal="left"/>
    </xf>
    <xf numFmtId="0" fontId="11" fillId="0" borderId="1" xfId="0" applyFont="1" applyBorder="1" applyAlignment="1">
      <alignment horizontal="center" vertical="center"/>
    </xf>
    <xf numFmtId="0" fontId="3" fillId="0" borderId="2" xfId="0" applyFont="1" applyBorder="1" applyAlignment="1">
      <alignment horizontal="left" vertical="center"/>
    </xf>
    <xf numFmtId="0" fontId="3" fillId="0" borderId="3" xfId="0" applyFont="1" applyBorder="1" applyAlignment="1">
      <alignment horizontal="left" vertical="center"/>
    </xf>
    <xf numFmtId="0" fontId="11" fillId="0" borderId="2" xfId="0" applyFont="1" applyBorder="1" applyAlignment="1">
      <alignment horizontal="center" vertical="center" wrapText="1"/>
    </xf>
    <xf numFmtId="0" fontId="11" fillId="0" borderId="3" xfId="0" applyFont="1" applyBorder="1" applyAlignment="1">
      <alignment horizontal="center" vertical="center" wrapText="1"/>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21" fillId="0" borderId="0" xfId="1" applyFont="1" applyFill="1" applyAlignment="1" applyProtection="1">
      <alignment horizontal="center" vertical="center"/>
    </xf>
    <xf numFmtId="0" fontId="2" fillId="0" borderId="1" xfId="0" applyFont="1" applyBorder="1" applyAlignment="1">
      <alignment horizontal="center"/>
    </xf>
    <xf numFmtId="0" fontId="14" fillId="3" borderId="0" xfId="0" applyFont="1" applyFill="1" applyAlignment="1">
      <alignment horizontal="center" vertical="top"/>
    </xf>
    <xf numFmtId="9" fontId="34" fillId="0" borderId="4" xfId="2" applyFont="1" applyBorder="1" applyAlignment="1">
      <alignment horizontal="center" vertical="center"/>
    </xf>
    <xf numFmtId="9" fontId="34" fillId="0" borderId="5" xfId="2" applyFont="1" applyBorder="1" applyAlignment="1">
      <alignment horizontal="center" vertical="center"/>
    </xf>
    <xf numFmtId="9" fontId="34" fillId="0" borderId="12" xfId="2" applyFont="1" applyBorder="1" applyAlignment="1">
      <alignment horizontal="center" vertical="center"/>
    </xf>
    <xf numFmtId="9" fontId="34" fillId="0" borderId="13" xfId="2" applyFont="1" applyBorder="1" applyAlignment="1">
      <alignment horizontal="center" vertical="center"/>
    </xf>
    <xf numFmtId="9" fontId="34" fillId="0" borderId="14" xfId="2" applyFont="1" applyBorder="1" applyAlignment="1">
      <alignment horizontal="center" vertical="center"/>
    </xf>
    <xf numFmtId="9" fontId="34" fillId="0" borderId="15" xfId="2" applyFont="1" applyBorder="1" applyAlignment="1">
      <alignment horizontal="center" vertical="center"/>
    </xf>
    <xf numFmtId="0" fontId="37" fillId="0" borderId="0" xfId="0" applyFont="1" applyAlignment="1">
      <alignment horizontal="center"/>
    </xf>
    <xf numFmtId="0" fontId="1" fillId="2" borderId="0" xfId="0" applyFont="1" applyFill="1" applyAlignment="1">
      <alignment horizontal="center" vertical="center"/>
    </xf>
    <xf numFmtId="9" fontId="33" fillId="0" borderId="4" xfId="2" applyFont="1" applyBorder="1" applyAlignment="1">
      <alignment horizontal="center"/>
    </xf>
    <xf numFmtId="9" fontId="33" fillId="0" borderId="5" xfId="2" applyFont="1" applyBorder="1" applyAlignment="1">
      <alignment horizontal="center"/>
    </xf>
    <xf numFmtId="9" fontId="33" fillId="0" borderId="12" xfId="2" applyFont="1" applyBorder="1" applyAlignment="1">
      <alignment horizontal="center"/>
    </xf>
    <xf numFmtId="9" fontId="33" fillId="0" borderId="13" xfId="2" applyFont="1" applyBorder="1" applyAlignment="1">
      <alignment horizontal="center"/>
    </xf>
    <xf numFmtId="9" fontId="33" fillId="0" borderId="14" xfId="2" applyFont="1" applyBorder="1" applyAlignment="1">
      <alignment horizontal="center"/>
    </xf>
    <xf numFmtId="9" fontId="33" fillId="0" borderId="15" xfId="2" applyFont="1" applyBorder="1" applyAlignment="1">
      <alignment horizontal="center"/>
    </xf>
    <xf numFmtId="9" fontId="33" fillId="0" borderId="4" xfId="2" applyFont="1" applyBorder="1" applyAlignment="1">
      <alignment horizontal="center" vertical="center"/>
    </xf>
    <xf numFmtId="9" fontId="33" fillId="0" borderId="5" xfId="2" applyFont="1" applyBorder="1" applyAlignment="1">
      <alignment horizontal="center" vertical="center"/>
    </xf>
    <xf numFmtId="9" fontId="33" fillId="0" borderId="12" xfId="2" applyFont="1" applyBorder="1" applyAlignment="1">
      <alignment horizontal="center" vertical="center"/>
    </xf>
    <xf numFmtId="9" fontId="33" fillId="0" borderId="13" xfId="2" applyFont="1" applyBorder="1" applyAlignment="1">
      <alignment horizontal="center" vertical="center"/>
    </xf>
    <xf numFmtId="9" fontId="33" fillId="0" borderId="14" xfId="2" applyFont="1" applyBorder="1" applyAlignment="1">
      <alignment horizontal="center" vertical="center"/>
    </xf>
    <xf numFmtId="9" fontId="33" fillId="0" borderId="15" xfId="2" applyFont="1" applyBorder="1" applyAlignment="1">
      <alignment horizontal="center" vertical="center"/>
    </xf>
    <xf numFmtId="0" fontId="4" fillId="0" borderId="17" xfId="0" applyFont="1" applyBorder="1" applyAlignment="1">
      <alignment horizontal="center"/>
    </xf>
    <xf numFmtId="0" fontId="26" fillId="6" borderId="25" xfId="0" applyFont="1" applyFill="1" applyBorder="1" applyAlignment="1">
      <alignment horizontal="center"/>
    </xf>
    <xf numFmtId="0" fontId="26" fillId="6" borderId="26" xfId="0" applyFont="1" applyFill="1" applyBorder="1" applyAlignment="1">
      <alignment horizontal="center"/>
    </xf>
    <xf numFmtId="0" fontId="26" fillId="6" borderId="27" xfId="0" applyFont="1" applyFill="1" applyBorder="1" applyAlignment="1">
      <alignment horizontal="center"/>
    </xf>
    <xf numFmtId="9" fontId="49" fillId="6" borderId="0" xfId="0" applyNumberFormat="1" applyFont="1" applyFill="1" applyAlignment="1">
      <alignment horizontal="right"/>
    </xf>
    <xf numFmtId="0" fontId="0" fillId="2" borderId="0" xfId="0" applyFill="1" applyAlignment="1">
      <alignment horizontal="center"/>
    </xf>
    <xf numFmtId="0" fontId="47" fillId="6" borderId="20" xfId="0" applyFont="1" applyFill="1" applyBorder="1" applyAlignment="1">
      <alignment horizontal="center"/>
    </xf>
    <xf numFmtId="0" fontId="47" fillId="6" borderId="21" xfId="0" applyFont="1" applyFill="1" applyBorder="1" applyAlignment="1">
      <alignment horizontal="center"/>
    </xf>
    <xf numFmtId="0" fontId="47" fillId="6" borderId="22" xfId="0" applyFont="1" applyFill="1" applyBorder="1" applyAlignment="1">
      <alignment horizontal="center"/>
    </xf>
    <xf numFmtId="0" fontId="50" fillId="6" borderId="0" xfId="0" applyFont="1" applyFill="1" applyAlignment="1">
      <alignment horizontal="center" vertical="center"/>
    </xf>
    <xf numFmtId="0" fontId="25" fillId="2" borderId="0" xfId="0" applyFont="1" applyFill="1" applyAlignment="1">
      <alignment horizontal="center"/>
    </xf>
    <xf numFmtId="0" fontId="20" fillId="2" borderId="0" xfId="0" applyFont="1" applyFill="1" applyAlignment="1">
      <alignment horizontal="center" vertical="center"/>
    </xf>
  </cellXfs>
  <cellStyles count="3">
    <cellStyle name="Hyperlink" xfId="1" builtinId="8"/>
    <cellStyle name="Normal" xfId="0" builtinId="0"/>
    <cellStyle name="Per cent" xfId="2" builtinId="5"/>
  </cellStyles>
  <dxfs count="154">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168" formatCode="dd/mm/yyyy\ hh:mm\ AM/PM"/>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solid">
          <fgColor theme="1"/>
          <bgColor theme="6" tint="0.59996337778862885"/>
        </patternFill>
      </fill>
      <border diagonalUp="0" diagonalDown="0" outline="0">
        <left style="thin">
          <color indexed="64"/>
        </left>
        <right style="thin">
          <color indexed="64"/>
        </right>
        <top/>
        <bottom/>
      </border>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
      <font>
        <strike/>
      </font>
      <fill>
        <patternFill>
          <bgColor theme="9" tint="0.59996337778862885"/>
        </patternFill>
      </fill>
    </dxf>
    <dxf>
      <fill>
        <gradientFill degree="90">
          <stop position="0">
            <color theme="0"/>
          </stop>
          <stop position="1">
            <color rgb="FFFF0000"/>
          </stop>
        </gradientFill>
      </fill>
    </dxf>
  </dxfs>
  <tableStyles count="0" defaultTableStyle="TableStyleMedium2" defaultPivotStyle="PivotStyleLight16"/>
  <colors>
    <mruColors>
      <color rgb="FF2BA2D3"/>
      <color rgb="FF2B3F5F"/>
      <color rgb="FF003366"/>
      <color rgb="FF1560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openxmlformats.org/officeDocument/2006/relationships/connections" Target="connections.xml"/><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4.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7.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6.xml"/><Relationship Id="rId27" Type="http://schemas.openxmlformats.org/officeDocument/2006/relationships/styles" Target="style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[Site X Corrugator Dashboard .xlsm]Completion Rate!PivotTable5</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solidFill>
                  <a:schemeClr val="tx1"/>
                </a:solidFill>
              </a:rPr>
              <a:t>Daily Checks Completion</a:t>
            </a:r>
            <a:r>
              <a:rPr lang="en-US" sz="2400" b="1" baseline="0">
                <a:solidFill>
                  <a:schemeClr val="tx1"/>
                </a:solidFill>
              </a:rPr>
              <a:t> Rate</a:t>
            </a:r>
            <a:endParaRPr lang="en-US" sz="2400" b="1">
              <a:solidFill>
                <a:schemeClr val="tx1"/>
              </a:solidFill>
            </a:endParaRP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pivotFmt>
    </c:pivotFmts>
    <c:plotArea>
      <c:layout/>
      <c:lineChart>
        <c:grouping val="standard"/>
        <c:varyColors val="0"/>
        <c:ser>
          <c:idx val="0"/>
          <c:order val="0"/>
          <c:tx>
            <c:strRef>
              <c:f>'Completion Rate'!$AH$13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'Completion Rate'!$AG$14:$AG$43</c:f>
              <c:strCache>
                <c:ptCount val="30"/>
                <c:pt idx="0">
                  <c:v>20/06/2025</c:v>
                </c:pt>
                <c:pt idx="1">
                  <c:v>23/06/2025</c:v>
                </c:pt>
                <c:pt idx="2">
                  <c:v>24/06/2025</c:v>
                </c:pt>
                <c:pt idx="3">
                  <c:v>25/06/2025</c:v>
                </c:pt>
                <c:pt idx="4">
                  <c:v>26/06/2025</c:v>
                </c:pt>
                <c:pt idx="5">
                  <c:v>27/06/2025</c:v>
                </c:pt>
                <c:pt idx="6">
                  <c:v>30/06/2025</c:v>
                </c:pt>
                <c:pt idx="7">
                  <c:v>01/07/2025</c:v>
                </c:pt>
                <c:pt idx="8">
                  <c:v>02/07/2025</c:v>
                </c:pt>
                <c:pt idx="9">
                  <c:v>03/07/2025</c:v>
                </c:pt>
                <c:pt idx="10">
                  <c:v>04/07/2025</c:v>
                </c:pt>
                <c:pt idx="11">
                  <c:v>07/07/2025</c:v>
                </c:pt>
                <c:pt idx="12">
                  <c:v>08/07/2025</c:v>
                </c:pt>
                <c:pt idx="13">
                  <c:v>09/07/2025</c:v>
                </c:pt>
                <c:pt idx="14">
                  <c:v>10/07/2025</c:v>
                </c:pt>
                <c:pt idx="15">
                  <c:v>11/07/2025</c:v>
                </c:pt>
                <c:pt idx="16">
                  <c:v>14/07/2025</c:v>
                </c:pt>
                <c:pt idx="17">
                  <c:v>15/07/2025</c:v>
                </c:pt>
                <c:pt idx="18">
                  <c:v>16/07/2025</c:v>
                </c:pt>
                <c:pt idx="19">
                  <c:v>17/07/2025</c:v>
                </c:pt>
                <c:pt idx="20">
                  <c:v>18/07/2025</c:v>
                </c:pt>
                <c:pt idx="21">
                  <c:v>21/07/2025</c:v>
                </c:pt>
                <c:pt idx="22">
                  <c:v>22/07/2025</c:v>
                </c:pt>
                <c:pt idx="23">
                  <c:v>23/07/2025</c:v>
                </c:pt>
                <c:pt idx="24">
                  <c:v>24/07/2025</c:v>
                </c:pt>
                <c:pt idx="25">
                  <c:v>25/07/2025</c:v>
                </c:pt>
                <c:pt idx="26">
                  <c:v>28/07/2025</c:v>
                </c:pt>
                <c:pt idx="27">
                  <c:v>29/07/2025</c:v>
                </c:pt>
                <c:pt idx="28">
                  <c:v>30/07/2025</c:v>
                </c:pt>
                <c:pt idx="29">
                  <c:v>31/07/2025</c:v>
                </c:pt>
              </c:strCache>
            </c:strRef>
          </c:cat>
          <c:val>
            <c:numRef>
              <c:f>'Completion Rate'!$AH$14:$AH$43</c:f>
              <c:numCache>
                <c:formatCode>0%</c:formatCode>
                <c:ptCount val="30"/>
                <c:pt idx="0">
                  <c:v>0.19444444444444445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0.5</c:v>
                </c:pt>
              </c:numCache>
            </c:numRef>
          </c:val>
          <c:smooth val="0"/>
          <c:extLst>
            <c:ext xmlns:c16="http://schemas.microsoft.com/office/drawing/2014/chart" uri="{C3380CC4-5D6E-409C-BE32-E72D297353CC}">
              <c16:uniqueId val="{00000000-C866-4EE2-8D56-232FEC798780}"/>
            </c:ext>
          </c:extLst>
        </c:ser>
        <c:dLbls>
          <c:dLblPos val="l"/>
          <c:showLegendKey val="0"/>
          <c:showVal val="1"/>
          <c:showCatName val="0"/>
          <c:showSerName val="0"/>
          <c:showPercent val="0"/>
          <c:showBubbleSize val="0"/>
        </c:dLbls>
        <c:marker val="1"/>
        <c:smooth val="0"/>
        <c:axId val="1767215120"/>
        <c:axId val="1766870720"/>
      </c:lineChart>
      <c:catAx>
        <c:axId val="176721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1766870720"/>
        <c:crosses val="autoZero"/>
        <c:auto val="1"/>
        <c:lblAlgn val="ctr"/>
        <c:lblOffset val="100"/>
        <c:noMultiLvlLbl val="0"/>
      </c:catAx>
      <c:valAx>
        <c:axId val="176687072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1767215120"/>
        <c:crosses val="autoZero"/>
        <c:crossBetween val="between"/>
        <c:majorUnit val="0.0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[Site X Corrugator Dashboard .xlsm]Completion Rate!PivotTable10</c:name>
    <c:fmtId val="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solidFill>
                  <a:schemeClr val="tx1"/>
                </a:solidFill>
              </a:rPr>
              <a:t>Weekly Checks Completion Rate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'Completion Rate'!$AK$13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'Completion Rate'!$AJ$14</c:f>
              <c:strCache>
                <c:ptCount val="1"/>
                <c:pt idx="0">
                  <c:v>31</c:v>
                </c:pt>
              </c:strCache>
            </c:strRef>
          </c:cat>
          <c:val>
            <c:numRef>
              <c:f>'Completion Rate'!$AK$14</c:f>
              <c:numCache>
                <c:formatCode>0%</c:formatCode>
                <c:ptCount val="1"/>
                <c:pt idx="0">
                  <c:v>0.78260869565217395</c:v>
                </c:pt>
              </c:numCache>
            </c:numRef>
          </c:val>
          <c:smooth val="0"/>
          <c:extLst>
            <c:ext xmlns:c16="http://schemas.microsoft.com/office/drawing/2014/chart" uri="{C3380CC4-5D6E-409C-BE32-E72D297353CC}">
              <c16:uniqueId val="{00000002-1A85-483D-9AD8-D94E44FFB8D5}"/>
            </c:ext>
          </c:extLst>
        </c:ser>
        <c:dLbls>
          <c:dLblPos val="r"/>
          <c:showLegendKey val="0"/>
          <c:showVal val="1"/>
          <c:showCatName val="0"/>
          <c:showSerName val="0"/>
          <c:showPercent val="0"/>
          <c:showBubbleSize val="0"/>
        </c:dLbls>
        <c:marker val="1"/>
        <c:smooth val="0"/>
        <c:axId val="207606047"/>
        <c:axId val="1921519632"/>
      </c:lineChart>
      <c:catAx>
        <c:axId val="207606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1921519632"/>
        <c:crosses val="autoZero"/>
        <c:auto val="1"/>
        <c:lblAlgn val="ctr"/>
        <c:lblOffset val="100"/>
        <c:noMultiLvlLbl val="0"/>
      </c:catAx>
      <c:valAx>
        <c:axId val="192151963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07606047"/>
        <c:crosses val="autoZero"/>
        <c:crossBetween val="between"/>
        <c:majorUnit val="0.0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[Site X Corrugator Dashboard .xlsm]Completion Rate!PivotTable11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Monthly Checks Completion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'Completion Rate'!$AN$13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'Completion Rate'!$AM$14</c:f>
              <c:strCache>
                <c:ptCount val="1"/>
                <c:pt idx="0">
                  <c:v>Jul</c:v>
                </c:pt>
              </c:strCache>
            </c:strRef>
          </c:cat>
          <c:val>
            <c:numRef>
              <c:f>'Completion Rate'!$AN$14</c:f>
              <c:numCache>
                <c:formatCode>0%</c:formatCode>
                <c:ptCount val="1"/>
                <c:pt idx="0">
                  <c:v>0.27272727272727271</c:v>
                </c:pt>
              </c:numCache>
            </c:numRef>
          </c:val>
          <c:smooth val="0"/>
          <c:extLst>
            <c:ext xmlns:c16="http://schemas.microsoft.com/office/drawing/2014/chart" uri="{C3380CC4-5D6E-409C-BE32-E72D297353CC}">
              <c16:uniqueId val="{00000000-FFBD-6545-8795-427403303EAC}"/>
            </c:ext>
          </c:extLst>
        </c:ser>
        <c:dLbls>
          <c:dLblPos val="r"/>
          <c:showLegendKey val="0"/>
          <c:showVal val="1"/>
          <c:showCatName val="0"/>
          <c:showSerName val="0"/>
          <c:showPercent val="0"/>
          <c:showBubbleSize val="0"/>
        </c:dLbls>
        <c:marker val="1"/>
        <c:smooth val="0"/>
        <c:axId val="1994573296"/>
        <c:axId val="5037647"/>
      </c:lineChart>
      <c:catAx>
        <c:axId val="1994573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5037647"/>
        <c:crosses val="autoZero"/>
        <c:auto val="1"/>
        <c:lblAlgn val="ctr"/>
        <c:lblOffset val="100"/>
        <c:noMultiLvlLbl val="0"/>
      </c:catAx>
      <c:valAx>
        <c:axId val="5037647"/>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1994573296"/>
        <c:crosses val="autoZero"/>
        <c:crossBetween val="between"/>
        <c:majorUnit val="0.0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2400" b="1"/>
              <a:t>Quality waste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348951344343393E-2"/>
          <c:y val="0.13969890933499574"/>
          <c:w val="0.94110905608237705"/>
          <c:h val="0.77666295996151313"/>
        </c:manualLayout>
      </c:layout>
      <c:lineChart>
        <c:grouping val="standard"/>
        <c:varyColors val="0"/>
        <c:ser>
          <c:idx val="0"/>
          <c:order val="0"/>
          <c:tx>
            <c:v>Waste</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8"/>
              <c:pt idx="0">
                <c:v>2022</c:v>
              </c:pt>
              <c:pt idx="1">
                <c:v>2023</c:v>
              </c:pt>
              <c:pt idx="2">
                <c:v>2024</c:v>
              </c:pt>
              <c:pt idx="3">
                <c:v>2025</c:v>
              </c:pt>
              <c:pt idx="4">
                <c:v>45597</c:v>
              </c:pt>
              <c:pt idx="5">
                <c:v>45627</c:v>
              </c:pt>
              <c:pt idx="6">
                <c:v>45658</c:v>
              </c:pt>
              <c:pt idx="7">
                <c:v>45689</c:v>
              </c:pt>
              <c:pt idx="8">
                <c:v>45717</c:v>
              </c:pt>
              <c:pt idx="9">
                <c:v>45748</c:v>
              </c:pt>
              <c:pt idx="10">
                <c:v>45778</c:v>
              </c:pt>
              <c:pt idx="11">
                <c:v>45809</c:v>
              </c:pt>
              <c:pt idx="12">
                <c:v>45839</c:v>
              </c:pt>
              <c:pt idx="13">
                <c:v>45870</c:v>
              </c:pt>
              <c:pt idx="14">
                <c:v>45901</c:v>
              </c:pt>
              <c:pt idx="15">
                <c:v>45931</c:v>
              </c:pt>
              <c:pt idx="16">
                <c:v>45962</c:v>
              </c:pt>
              <c:pt idx="17">
                <c:v>45992</c:v>
              </c:pt>
            </c:numLit>
          </c:cat>
          <c:val>
            <c:numLit>
              <c:formatCode>General</c:formatCode>
              <c:ptCount val="18"/>
              <c:pt idx="0">
                <c:v>2.2999999999999998</c:v>
              </c:pt>
              <c:pt idx="1">
                <c:v>2.1</c:v>
              </c:pt>
              <c:pt idx="2">
                <c:v>2.2999999999999998</c:v>
              </c:pt>
              <c:pt idx="3">
                <c:v>2.3285714285714283</c:v>
              </c:pt>
              <c:pt idx="4">
                <c:v>2.5</c:v>
              </c:pt>
              <c:pt idx="5">
                <c:v>2.7</c:v>
              </c:pt>
              <c:pt idx="6">
                <c:v>3</c:v>
              </c:pt>
              <c:pt idx="7">
                <c:v>1.7</c:v>
              </c:pt>
              <c:pt idx="8">
                <c:v>2.2000000000000002</c:v>
              </c:pt>
              <c:pt idx="9">
                <c:v>2.6</c:v>
              </c:pt>
              <c:pt idx="10">
                <c:v>2.2000000000000002</c:v>
              </c:pt>
              <c:pt idx="11">
                <c:v>2.1</c:v>
              </c:pt>
              <c:pt idx="12">
                <c:v>2.5</c:v>
              </c:pt>
            </c:numLit>
          </c:val>
          <c:smooth val="0"/>
          <c:extLst>
            <c:ext xmlns:c16="http://schemas.microsoft.com/office/drawing/2014/chart" uri="{C3380CC4-5D6E-409C-BE32-E72D297353CC}">
              <c16:uniqueId val="{00000000-DD2B-4FCE-8D65-B83BCBE7CDD8}"/>
            </c:ext>
          </c:extLst>
        </c:ser>
        <c:ser>
          <c:idx val="1"/>
          <c:order val="1"/>
          <c:tx>
            <c:v>Target3</c:v>
          </c:tx>
          <c:spPr>
            <a:ln w="28575" cap="rnd">
              <a:solidFill>
                <a:schemeClr val="accent2"/>
              </a:solidFill>
              <a:round/>
            </a:ln>
            <a:effectLst/>
          </c:spPr>
          <c:marker>
            <c:symbol val="none"/>
          </c:marker>
          <c:cat>
            <c:numLit>
              <c:formatCode>General</c:formatCode>
              <c:ptCount val="18"/>
              <c:pt idx="0">
                <c:v>2022</c:v>
              </c:pt>
              <c:pt idx="1">
                <c:v>2023</c:v>
              </c:pt>
              <c:pt idx="2">
                <c:v>2024</c:v>
              </c:pt>
              <c:pt idx="3">
                <c:v>2025</c:v>
              </c:pt>
              <c:pt idx="4">
                <c:v>45597</c:v>
              </c:pt>
              <c:pt idx="5">
                <c:v>45627</c:v>
              </c:pt>
              <c:pt idx="6">
                <c:v>45658</c:v>
              </c:pt>
              <c:pt idx="7">
                <c:v>45689</c:v>
              </c:pt>
              <c:pt idx="8">
                <c:v>45717</c:v>
              </c:pt>
              <c:pt idx="9">
                <c:v>45748</c:v>
              </c:pt>
              <c:pt idx="10">
                <c:v>45778</c:v>
              </c:pt>
              <c:pt idx="11">
                <c:v>45809</c:v>
              </c:pt>
              <c:pt idx="12">
                <c:v>45839</c:v>
              </c:pt>
              <c:pt idx="13">
                <c:v>45870</c:v>
              </c:pt>
              <c:pt idx="14">
                <c:v>45901</c:v>
              </c:pt>
              <c:pt idx="15">
                <c:v>45931</c:v>
              </c:pt>
              <c:pt idx="16">
                <c:v>45962</c:v>
              </c:pt>
              <c:pt idx="17">
                <c:v>45992</c:v>
              </c:pt>
            </c:numLit>
          </c:cat>
          <c:val>
            <c:numLit>
              <c:formatCode>General</c:formatCode>
              <c:ptCount val="1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numLit>
          </c:val>
          <c:smooth val="0"/>
          <c:extLst>
            <c:ext xmlns:c16="http://schemas.microsoft.com/office/drawing/2014/chart" uri="{C3380CC4-5D6E-409C-BE32-E72D297353CC}">
              <c16:uniqueId val="{00000001-DD2B-4FCE-8D65-B83BCBE7CDD8}"/>
            </c:ext>
          </c:extLst>
        </c:ser>
        <c:dLbls>
          <c:showLegendKey val="0"/>
          <c:showVal val="0"/>
          <c:showCatName val="0"/>
          <c:showSerName val="0"/>
          <c:showPercent val="0"/>
          <c:showBubbleSize val="0"/>
        </c:dLbls>
        <c:smooth val="0"/>
        <c:axId val="1757342416"/>
        <c:axId val="1757334736"/>
      </c:lineChart>
      <c:catAx>
        <c:axId val="175734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7334736"/>
        <c:crosses val="autoZero"/>
        <c:auto val="1"/>
        <c:lblAlgn val="ctr"/>
        <c:lblOffset val="100"/>
        <c:noMultiLvlLbl val="0"/>
      </c:catAx>
      <c:valAx>
        <c:axId val="1757334736"/>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7342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2400" b="1"/>
              <a:t>Machine Net speed MPM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Speed MPM</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8"/>
              <c:pt idx="0">
                <c:v>2022</c:v>
              </c:pt>
              <c:pt idx="1">
                <c:v>2023</c:v>
              </c:pt>
              <c:pt idx="2">
                <c:v>2024</c:v>
              </c:pt>
              <c:pt idx="3">
                <c:v>2025</c:v>
              </c:pt>
              <c:pt idx="4">
                <c:v>45597</c:v>
              </c:pt>
              <c:pt idx="5">
                <c:v>45627</c:v>
              </c:pt>
              <c:pt idx="6">
                <c:v>45658</c:v>
              </c:pt>
              <c:pt idx="7">
                <c:v>45689</c:v>
              </c:pt>
              <c:pt idx="8">
                <c:v>45717</c:v>
              </c:pt>
              <c:pt idx="9">
                <c:v>45748</c:v>
              </c:pt>
              <c:pt idx="10">
                <c:v>45778</c:v>
              </c:pt>
              <c:pt idx="11">
                <c:v>45809</c:v>
              </c:pt>
              <c:pt idx="12">
                <c:v>45839</c:v>
              </c:pt>
              <c:pt idx="13">
                <c:v>45870</c:v>
              </c:pt>
              <c:pt idx="14">
                <c:v>45901</c:v>
              </c:pt>
              <c:pt idx="15">
                <c:v>45931</c:v>
              </c:pt>
              <c:pt idx="16">
                <c:v>45962</c:v>
              </c:pt>
              <c:pt idx="17">
                <c:v>45992</c:v>
              </c:pt>
            </c:numLit>
          </c:cat>
          <c:val>
            <c:numLit>
              <c:formatCode>General</c:formatCode>
              <c:ptCount val="18"/>
              <c:pt idx="0">
                <c:v>196.3</c:v>
              </c:pt>
              <c:pt idx="1">
                <c:v>193.1</c:v>
              </c:pt>
              <c:pt idx="2">
                <c:v>191.3</c:v>
              </c:pt>
              <c:pt idx="3">
                <c:v>196.34285714285716</c:v>
              </c:pt>
              <c:pt idx="4">
                <c:v>187.7</c:v>
              </c:pt>
              <c:pt idx="5">
                <c:v>184.1</c:v>
              </c:pt>
              <c:pt idx="6">
                <c:v>182.4</c:v>
              </c:pt>
              <c:pt idx="7">
                <c:v>199.7</c:v>
              </c:pt>
              <c:pt idx="8">
                <c:v>199.5</c:v>
              </c:pt>
              <c:pt idx="9">
                <c:v>197.8</c:v>
              </c:pt>
              <c:pt idx="10">
                <c:v>198.5</c:v>
              </c:pt>
              <c:pt idx="11">
                <c:v>202.9</c:v>
              </c:pt>
              <c:pt idx="12">
                <c:v>193.6</c:v>
              </c:pt>
            </c:numLit>
          </c:val>
          <c:smooth val="0"/>
          <c:extLst>
            <c:ext xmlns:c16="http://schemas.microsoft.com/office/drawing/2014/chart" uri="{C3380CC4-5D6E-409C-BE32-E72D297353CC}">
              <c16:uniqueId val="{00000000-CCF3-4A1D-B0F2-092DE7C3142D}"/>
            </c:ext>
          </c:extLst>
        </c:ser>
        <c:ser>
          <c:idx val="1"/>
          <c:order val="1"/>
          <c:tx>
            <c:v>Target</c:v>
          </c:tx>
          <c:spPr>
            <a:ln w="28575" cap="rnd">
              <a:solidFill>
                <a:schemeClr val="accent2"/>
              </a:solidFill>
              <a:round/>
            </a:ln>
            <a:effectLst/>
          </c:spPr>
          <c:marker>
            <c:symbol val="none"/>
          </c:marker>
          <c:dLbls>
            <c:delete val="1"/>
          </c:dLbls>
          <c:cat>
            <c:numLit>
              <c:formatCode>General</c:formatCode>
              <c:ptCount val="18"/>
              <c:pt idx="0">
                <c:v>2022</c:v>
              </c:pt>
              <c:pt idx="1">
                <c:v>2023</c:v>
              </c:pt>
              <c:pt idx="2">
                <c:v>2024</c:v>
              </c:pt>
              <c:pt idx="3">
                <c:v>2025</c:v>
              </c:pt>
              <c:pt idx="4">
                <c:v>45597</c:v>
              </c:pt>
              <c:pt idx="5">
                <c:v>45627</c:v>
              </c:pt>
              <c:pt idx="6">
                <c:v>45658</c:v>
              </c:pt>
              <c:pt idx="7">
                <c:v>45689</c:v>
              </c:pt>
              <c:pt idx="8">
                <c:v>45717</c:v>
              </c:pt>
              <c:pt idx="9">
                <c:v>45748</c:v>
              </c:pt>
              <c:pt idx="10">
                <c:v>45778</c:v>
              </c:pt>
              <c:pt idx="11">
                <c:v>45809</c:v>
              </c:pt>
              <c:pt idx="12">
                <c:v>45839</c:v>
              </c:pt>
              <c:pt idx="13">
                <c:v>45870</c:v>
              </c:pt>
              <c:pt idx="14">
                <c:v>45901</c:v>
              </c:pt>
              <c:pt idx="15">
                <c:v>45931</c:v>
              </c:pt>
              <c:pt idx="16">
                <c:v>45962</c:v>
              </c:pt>
              <c:pt idx="17">
                <c:v>45992</c:v>
              </c:pt>
            </c:numLit>
          </c:cat>
          <c:val>
            <c:numLit>
              <c:formatCode>General</c:formatCode>
              <c:ptCount val="18"/>
              <c:pt idx="0">
                <c:v>195</c:v>
              </c:pt>
              <c:pt idx="1">
                <c:v>195</c:v>
              </c:pt>
              <c:pt idx="2">
                <c:v>195</c:v>
              </c:pt>
              <c:pt idx="3">
                <c:v>195</c:v>
              </c:pt>
              <c:pt idx="4">
                <c:v>195</c:v>
              </c:pt>
              <c:pt idx="5">
                <c:v>195</c:v>
              </c:pt>
              <c:pt idx="6">
                <c:v>195</c:v>
              </c:pt>
              <c:pt idx="7">
                <c:v>195</c:v>
              </c:pt>
              <c:pt idx="8">
                <c:v>195</c:v>
              </c:pt>
              <c:pt idx="9">
                <c:v>195</c:v>
              </c:pt>
              <c:pt idx="10">
                <c:v>195</c:v>
              </c:pt>
              <c:pt idx="11">
                <c:v>195</c:v>
              </c:pt>
              <c:pt idx="12">
                <c:v>195</c:v>
              </c:pt>
              <c:pt idx="13">
                <c:v>195</c:v>
              </c:pt>
              <c:pt idx="14">
                <c:v>195</c:v>
              </c:pt>
              <c:pt idx="15">
                <c:v>195</c:v>
              </c:pt>
              <c:pt idx="16">
                <c:v>195</c:v>
              </c:pt>
              <c:pt idx="17">
                <c:v>195</c:v>
              </c:pt>
            </c:numLit>
          </c:val>
          <c:smooth val="0"/>
          <c:extLst>
            <c:ext xmlns:c16="http://schemas.microsoft.com/office/drawing/2014/chart" uri="{C3380CC4-5D6E-409C-BE32-E72D297353CC}">
              <c16:uniqueId val="{00000001-CCF3-4A1D-B0F2-092DE7C3142D}"/>
            </c:ext>
          </c:extLst>
        </c:ser>
        <c:dLbls>
          <c:dLblPos val="t"/>
          <c:showLegendKey val="0"/>
          <c:showVal val="1"/>
          <c:showCatName val="0"/>
          <c:showSerName val="0"/>
          <c:showPercent val="0"/>
          <c:showBubbleSize val="0"/>
        </c:dLbls>
        <c:smooth val="0"/>
        <c:axId val="217529216"/>
        <c:axId val="1393438320"/>
      </c:lineChart>
      <c:catAx>
        <c:axId val="21752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438320"/>
        <c:crosses val="autoZero"/>
        <c:auto val="1"/>
        <c:lblAlgn val="ctr"/>
        <c:lblOffset val="100"/>
        <c:noMultiLvlLbl val="0"/>
      </c:catAx>
      <c:valAx>
        <c:axId val="1393438320"/>
        <c:scaling>
          <c:orientation val="minMax"/>
          <c:max val="215"/>
          <c:min val="1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529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2400" b="1"/>
              <a:t>Availability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Availablility </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8"/>
              <c:pt idx="0">
                <c:v>2022</c:v>
              </c:pt>
              <c:pt idx="1">
                <c:v>2023</c:v>
              </c:pt>
              <c:pt idx="2">
                <c:v>2024</c:v>
              </c:pt>
              <c:pt idx="3">
                <c:v>2025</c:v>
              </c:pt>
              <c:pt idx="4">
                <c:v>45597</c:v>
              </c:pt>
              <c:pt idx="5">
                <c:v>45627</c:v>
              </c:pt>
              <c:pt idx="6">
                <c:v>45658</c:v>
              </c:pt>
              <c:pt idx="7">
                <c:v>45689</c:v>
              </c:pt>
              <c:pt idx="8">
                <c:v>45717</c:v>
              </c:pt>
              <c:pt idx="9">
                <c:v>45748</c:v>
              </c:pt>
              <c:pt idx="10">
                <c:v>45778</c:v>
              </c:pt>
              <c:pt idx="11">
                <c:v>45809</c:v>
              </c:pt>
              <c:pt idx="12">
                <c:v>45839</c:v>
              </c:pt>
              <c:pt idx="13">
                <c:v>45870</c:v>
              </c:pt>
              <c:pt idx="14">
                <c:v>45901</c:v>
              </c:pt>
              <c:pt idx="15">
                <c:v>45931</c:v>
              </c:pt>
              <c:pt idx="16">
                <c:v>45962</c:v>
              </c:pt>
              <c:pt idx="17">
                <c:v>45992</c:v>
              </c:pt>
            </c:numLit>
          </c:cat>
          <c:val>
            <c:numLit>
              <c:formatCode>General</c:formatCode>
              <c:ptCount val="18"/>
              <c:pt idx="0">
                <c:v>69.400000000000006</c:v>
              </c:pt>
              <c:pt idx="1">
                <c:v>68.2</c:v>
              </c:pt>
              <c:pt idx="2">
                <c:v>70</c:v>
              </c:pt>
              <c:pt idx="3">
                <c:v>73.285714285714292</c:v>
              </c:pt>
              <c:pt idx="4">
                <c:v>70.7</c:v>
              </c:pt>
              <c:pt idx="5">
                <c:v>68.5</c:v>
              </c:pt>
              <c:pt idx="6">
                <c:v>71.8</c:v>
              </c:pt>
              <c:pt idx="7">
                <c:v>73</c:v>
              </c:pt>
              <c:pt idx="8">
                <c:v>72.099999999999994</c:v>
              </c:pt>
              <c:pt idx="9">
                <c:v>78.599999999999994</c:v>
              </c:pt>
              <c:pt idx="10">
                <c:v>73.3</c:v>
              </c:pt>
              <c:pt idx="11">
                <c:v>73.5</c:v>
              </c:pt>
              <c:pt idx="12">
                <c:v>70.7</c:v>
              </c:pt>
            </c:numLit>
          </c:val>
          <c:smooth val="0"/>
          <c:extLst>
            <c:ext xmlns:c16="http://schemas.microsoft.com/office/drawing/2014/chart" uri="{C3380CC4-5D6E-409C-BE32-E72D297353CC}">
              <c16:uniqueId val="{00000000-D593-46EA-8DB8-CB9F8868B215}"/>
            </c:ext>
          </c:extLst>
        </c:ser>
        <c:ser>
          <c:idx val="1"/>
          <c:order val="1"/>
          <c:tx>
            <c:v>Target4</c:v>
          </c:tx>
          <c:spPr>
            <a:ln w="28575" cap="rnd">
              <a:solidFill>
                <a:schemeClr val="accent2"/>
              </a:solidFill>
              <a:round/>
            </a:ln>
            <a:effectLst/>
          </c:spPr>
          <c:marker>
            <c:symbol val="none"/>
          </c:marker>
          <c:cat>
            <c:numLit>
              <c:formatCode>General</c:formatCode>
              <c:ptCount val="18"/>
              <c:pt idx="0">
                <c:v>2022</c:v>
              </c:pt>
              <c:pt idx="1">
                <c:v>2023</c:v>
              </c:pt>
              <c:pt idx="2">
                <c:v>2024</c:v>
              </c:pt>
              <c:pt idx="3">
                <c:v>2025</c:v>
              </c:pt>
              <c:pt idx="4">
                <c:v>45597</c:v>
              </c:pt>
              <c:pt idx="5">
                <c:v>45627</c:v>
              </c:pt>
              <c:pt idx="6">
                <c:v>45658</c:v>
              </c:pt>
              <c:pt idx="7">
                <c:v>45689</c:v>
              </c:pt>
              <c:pt idx="8">
                <c:v>45717</c:v>
              </c:pt>
              <c:pt idx="9">
                <c:v>45748</c:v>
              </c:pt>
              <c:pt idx="10">
                <c:v>45778</c:v>
              </c:pt>
              <c:pt idx="11">
                <c:v>45809</c:v>
              </c:pt>
              <c:pt idx="12">
                <c:v>45839</c:v>
              </c:pt>
              <c:pt idx="13">
                <c:v>45870</c:v>
              </c:pt>
              <c:pt idx="14">
                <c:v>45901</c:v>
              </c:pt>
              <c:pt idx="15">
                <c:v>45931</c:v>
              </c:pt>
              <c:pt idx="16">
                <c:v>45962</c:v>
              </c:pt>
              <c:pt idx="17">
                <c:v>45992</c:v>
              </c:pt>
            </c:numLit>
          </c:cat>
          <c:val>
            <c:numLit>
              <c:formatCode>General</c:formatCode>
              <c:ptCount val="18"/>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numLit>
          </c:val>
          <c:smooth val="0"/>
          <c:extLst>
            <c:ext xmlns:c16="http://schemas.microsoft.com/office/drawing/2014/chart" uri="{C3380CC4-5D6E-409C-BE32-E72D297353CC}">
              <c16:uniqueId val="{00000001-D593-46EA-8DB8-CB9F8868B215}"/>
            </c:ext>
          </c:extLst>
        </c:ser>
        <c:dLbls>
          <c:showLegendKey val="0"/>
          <c:showVal val="0"/>
          <c:showCatName val="0"/>
          <c:showSerName val="0"/>
          <c:showPercent val="0"/>
          <c:showBubbleSize val="0"/>
        </c:dLbls>
        <c:smooth val="0"/>
        <c:axId val="1858752864"/>
        <c:axId val="1858763424"/>
      </c:lineChart>
      <c:catAx>
        <c:axId val="1858752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763424"/>
        <c:crosses val="autoZero"/>
        <c:auto val="1"/>
        <c:lblAlgn val="ctr"/>
        <c:lblOffset val="100"/>
        <c:noMultiLvlLbl val="0"/>
      </c:catAx>
      <c:valAx>
        <c:axId val="1858763424"/>
        <c:scaling>
          <c:orientation val="minMax"/>
          <c:min val="6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752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2400" b="1"/>
              <a:t>Stops per 100K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Stops per 100k</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8"/>
              <c:pt idx="0">
                <c:v>2022</c:v>
              </c:pt>
              <c:pt idx="1">
                <c:v>2023</c:v>
              </c:pt>
              <c:pt idx="2">
                <c:v>2024</c:v>
              </c:pt>
              <c:pt idx="3">
                <c:v>2025</c:v>
              </c:pt>
              <c:pt idx="4">
                <c:v>45597</c:v>
              </c:pt>
              <c:pt idx="5">
                <c:v>45627</c:v>
              </c:pt>
              <c:pt idx="6">
                <c:v>45658</c:v>
              </c:pt>
              <c:pt idx="7">
                <c:v>45689</c:v>
              </c:pt>
              <c:pt idx="8">
                <c:v>45717</c:v>
              </c:pt>
              <c:pt idx="9">
                <c:v>45748</c:v>
              </c:pt>
              <c:pt idx="10">
                <c:v>45778</c:v>
              </c:pt>
              <c:pt idx="11">
                <c:v>45809</c:v>
              </c:pt>
              <c:pt idx="12">
                <c:v>45839</c:v>
              </c:pt>
              <c:pt idx="13">
                <c:v>45870</c:v>
              </c:pt>
              <c:pt idx="14">
                <c:v>45901</c:v>
              </c:pt>
              <c:pt idx="15">
                <c:v>45931</c:v>
              </c:pt>
              <c:pt idx="16">
                <c:v>45962</c:v>
              </c:pt>
              <c:pt idx="17">
                <c:v>45992</c:v>
              </c:pt>
            </c:numLit>
          </c:cat>
          <c:val>
            <c:numLit>
              <c:formatCode>General</c:formatCode>
              <c:ptCount val="18"/>
              <c:pt idx="0">
                <c:v>6.3</c:v>
              </c:pt>
              <c:pt idx="1">
                <c:v>5.9</c:v>
              </c:pt>
              <c:pt idx="2">
                <c:v>6.1</c:v>
              </c:pt>
              <c:pt idx="3">
                <c:v>5.4142857142857155</c:v>
              </c:pt>
              <c:pt idx="4">
                <c:v>6.9</c:v>
              </c:pt>
              <c:pt idx="5">
                <c:v>7.1</c:v>
              </c:pt>
              <c:pt idx="6">
                <c:v>6.1</c:v>
              </c:pt>
              <c:pt idx="7">
                <c:v>3.9</c:v>
              </c:pt>
              <c:pt idx="8">
                <c:v>5.6</c:v>
              </c:pt>
              <c:pt idx="9">
                <c:v>5</c:v>
              </c:pt>
              <c:pt idx="10">
                <c:v>5.0999999999999996</c:v>
              </c:pt>
              <c:pt idx="11">
                <c:v>6.2</c:v>
              </c:pt>
              <c:pt idx="12">
                <c:v>6</c:v>
              </c:pt>
            </c:numLit>
          </c:val>
          <c:smooth val="0"/>
          <c:extLst>
            <c:ext xmlns:c16="http://schemas.microsoft.com/office/drawing/2014/chart" uri="{C3380CC4-5D6E-409C-BE32-E72D297353CC}">
              <c16:uniqueId val="{00000000-D7C9-4806-AC96-0C094E599C7C}"/>
            </c:ext>
          </c:extLst>
        </c:ser>
        <c:ser>
          <c:idx val="1"/>
          <c:order val="1"/>
          <c:tx>
            <c:v>Target2</c:v>
          </c:tx>
          <c:spPr>
            <a:ln w="28575" cap="rnd">
              <a:solidFill>
                <a:schemeClr val="accent2"/>
              </a:solidFill>
              <a:round/>
            </a:ln>
            <a:effectLst/>
          </c:spPr>
          <c:marker>
            <c:symbol val="none"/>
          </c:marker>
          <c:cat>
            <c:numLit>
              <c:formatCode>General</c:formatCode>
              <c:ptCount val="18"/>
              <c:pt idx="0">
                <c:v>2022</c:v>
              </c:pt>
              <c:pt idx="1">
                <c:v>2023</c:v>
              </c:pt>
              <c:pt idx="2">
                <c:v>2024</c:v>
              </c:pt>
              <c:pt idx="3">
                <c:v>2025</c:v>
              </c:pt>
              <c:pt idx="4">
                <c:v>45597</c:v>
              </c:pt>
              <c:pt idx="5">
                <c:v>45627</c:v>
              </c:pt>
              <c:pt idx="6">
                <c:v>45658</c:v>
              </c:pt>
              <c:pt idx="7">
                <c:v>45689</c:v>
              </c:pt>
              <c:pt idx="8">
                <c:v>45717</c:v>
              </c:pt>
              <c:pt idx="9">
                <c:v>45748</c:v>
              </c:pt>
              <c:pt idx="10">
                <c:v>45778</c:v>
              </c:pt>
              <c:pt idx="11">
                <c:v>45809</c:v>
              </c:pt>
              <c:pt idx="12">
                <c:v>45839</c:v>
              </c:pt>
              <c:pt idx="13">
                <c:v>45870</c:v>
              </c:pt>
              <c:pt idx="14">
                <c:v>45901</c:v>
              </c:pt>
              <c:pt idx="15">
                <c:v>45931</c:v>
              </c:pt>
              <c:pt idx="16">
                <c:v>45962</c:v>
              </c:pt>
              <c:pt idx="17">
                <c:v>45992</c:v>
              </c:pt>
            </c:numLit>
          </c:cat>
          <c:val>
            <c:numLit>
              <c:formatCode>General</c:formatCode>
              <c:ptCount val="18"/>
              <c:pt idx="0">
                <c:v>5.5</c:v>
              </c:pt>
              <c:pt idx="1">
                <c:v>5.5</c:v>
              </c:pt>
              <c:pt idx="2">
                <c:v>5.5</c:v>
              </c:pt>
              <c:pt idx="3">
                <c:v>5.5</c:v>
              </c:pt>
              <c:pt idx="4">
                <c:v>5.5</c:v>
              </c:pt>
              <c:pt idx="5">
                <c:v>5.5</c:v>
              </c:pt>
              <c:pt idx="6">
                <c:v>5.5</c:v>
              </c:pt>
              <c:pt idx="7">
                <c:v>5.5</c:v>
              </c:pt>
              <c:pt idx="8">
                <c:v>5.5</c:v>
              </c:pt>
              <c:pt idx="9">
                <c:v>5.5</c:v>
              </c:pt>
              <c:pt idx="10">
                <c:v>5.5</c:v>
              </c:pt>
              <c:pt idx="11">
                <c:v>5.5</c:v>
              </c:pt>
              <c:pt idx="12">
                <c:v>5.5</c:v>
              </c:pt>
              <c:pt idx="13">
                <c:v>5.5</c:v>
              </c:pt>
              <c:pt idx="14">
                <c:v>5.5</c:v>
              </c:pt>
              <c:pt idx="15">
                <c:v>5.5</c:v>
              </c:pt>
              <c:pt idx="16">
                <c:v>5.5</c:v>
              </c:pt>
              <c:pt idx="17">
                <c:v>5.5</c:v>
              </c:pt>
            </c:numLit>
          </c:val>
          <c:smooth val="0"/>
          <c:extLst>
            <c:ext xmlns:c16="http://schemas.microsoft.com/office/drawing/2014/chart" uri="{C3380CC4-5D6E-409C-BE32-E72D297353CC}">
              <c16:uniqueId val="{00000001-D7C9-4806-AC96-0C094E599C7C}"/>
            </c:ext>
          </c:extLst>
        </c:ser>
        <c:dLbls>
          <c:showLegendKey val="0"/>
          <c:showVal val="0"/>
          <c:showCatName val="0"/>
          <c:showSerName val="0"/>
          <c:showPercent val="0"/>
          <c:showBubbleSize val="0"/>
        </c:dLbls>
        <c:smooth val="0"/>
        <c:axId val="1754771776"/>
        <c:axId val="1754774176"/>
      </c:lineChart>
      <c:catAx>
        <c:axId val="175477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774176"/>
        <c:crosses val="autoZero"/>
        <c:auto val="1"/>
        <c:lblAlgn val="ctr"/>
        <c:lblOffset val="100"/>
        <c:noMultiLvlLbl val="0"/>
      </c:catAx>
      <c:valAx>
        <c:axId val="1754774176"/>
        <c:scaling>
          <c:orientation val="minMax"/>
          <c:min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7717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8" lockText="1" noThreeD="1"/>
</file>

<file path=xl/ctrlProps/ctrlProp2.xml><?xml version="1.0" encoding="utf-8"?>
<formControlPr xmlns="http://schemas.microsoft.com/office/spreadsheetml/2009/9/main" objectType="CheckBox" checked="Checked" fmlaLink="$D$9" lockText="1" noThreeD="1"/>
</file>

<file path=xl/ctrlProps/ctrlProp3.xml><?xml version="1.0" encoding="utf-8"?>
<formControlPr xmlns="http://schemas.microsoft.com/office/spreadsheetml/2009/9/main" objectType="CheckBox" checked="Checked" fmlaLink="$D$10" lockText="1" noThreeD="1"/>
</file>

<file path=xl/ctrlProps/ctrlProp4.xml><?xml version="1.0" encoding="utf-8"?>
<formControlPr xmlns="http://schemas.microsoft.com/office/spreadsheetml/2009/9/main" objectType="CheckBox" checked="Checked" fmlaLink="$D$13" lockText="1" noThreeD="1"/>
</file>

<file path=xl/ctrlProps/ctrlProp5.xml><?xml version="1.0" encoding="utf-8"?>
<formControlPr xmlns="http://schemas.microsoft.com/office/spreadsheetml/2009/9/main" objectType="CheckBox" fmlaLink="$D$14" lockText="1" noThreeD="1"/>
</file>

<file path=xl/ctrlProps/ctrlProp6.xml><?xml version="1.0" encoding="utf-8"?>
<formControlPr xmlns="http://schemas.microsoft.com/office/spreadsheetml/2009/9/main" objectType="CheckBox" checked="Checked" fmlaLink="$D$15" lockText="1" noThreeD="1"/>
</file>

<file path=xl/ctrlProps/ctrlProp7.xml><?xml version="1.0" encoding="utf-8"?>
<formControlPr xmlns="http://schemas.microsoft.com/office/spreadsheetml/2009/9/main" objectType="CheckBox" fmlaLink="$D$16" lockText="1" noThreeD="1"/>
</file>

<file path=xl/ctrlProps/ctrlProp8.xml><?xml version="1.0" encoding="utf-8"?>
<formControlPr xmlns="http://schemas.microsoft.com/office/spreadsheetml/2009/9/main" objectType="CheckBox" checked="Checked" fmlaLink="$D$17" lockText="1" noThreeD="1"/>
</file>

<file path=xl/ctrlProps/ctrlProp9.xml><?xml version="1.0" encoding="utf-8"?>
<formControlPr xmlns="http://schemas.microsoft.com/office/spreadsheetml/2009/9/main" objectType="CheckBox" checked="Checked" fmlaLink="$D$18" lockText="1" noThreeD="1"/>
</file>

<file path=xl/ctrlProps/ctrlProp10.xml><?xml version="1.0" encoding="utf-8"?>
<formControlPr xmlns="http://schemas.microsoft.com/office/spreadsheetml/2009/9/main" objectType="CheckBox" fmlaLink="$D$19" lockText="1" noThreeD="1"/>
</file>

<file path=xl/ctrlProps/ctrlProp11.xml><?xml version="1.0" encoding="utf-8"?>
<formControlPr xmlns="http://schemas.microsoft.com/office/spreadsheetml/2009/9/main" objectType="CheckBox" checked="Checked" fmlaLink="$D$20" lockText="1" noThreeD="1"/>
</file>

<file path=xl/ctrlProps/ctrlProp12.xml><?xml version="1.0" encoding="utf-8"?>
<formControlPr xmlns="http://schemas.microsoft.com/office/spreadsheetml/2009/9/main" objectType="CheckBox" checked="Checked" fmlaLink="$D$21" lockText="1" noThreeD="1"/>
</file>

<file path=xl/ctrlProps/ctrlProp13.xml><?xml version="1.0" encoding="utf-8"?>
<formControlPr xmlns="http://schemas.microsoft.com/office/spreadsheetml/2009/9/main" objectType="CheckBox" checked="Checked" fmlaLink="$D$22" lockText="1" noThreeD="1"/>
</file>

<file path=xl/ctrlProps/ctrlProp14.xml><?xml version="1.0" encoding="utf-8"?>
<formControlPr xmlns="http://schemas.microsoft.com/office/spreadsheetml/2009/9/main" objectType="CheckBox" fmlaLink="$D$23" lockText="1" noThreeD="1"/>
</file>

<file path=xl/ctrlProps/ctrlProp15.xml><?xml version="1.0" encoding="utf-8"?>
<formControlPr xmlns="http://schemas.microsoft.com/office/spreadsheetml/2009/9/main" objectType="CheckBox" checked="Checked" fmlaLink="$D$24" lockText="1" noThreeD="1"/>
</file>

<file path=xl/ctrlProps/ctrlProp16.xml><?xml version="1.0" encoding="utf-8"?>
<formControlPr xmlns="http://schemas.microsoft.com/office/spreadsheetml/2009/9/main" objectType="CheckBox" checked="Checked" fmlaLink="$D$25" lockText="1" noThreeD="1"/>
</file>

<file path=xl/ctrlProps/ctrlProp17.xml><?xml version="1.0" encoding="utf-8"?>
<formControlPr xmlns="http://schemas.microsoft.com/office/spreadsheetml/2009/9/main" objectType="CheckBox" checked="Checked" fmlaLink="$D$11" lockText="1" noThreeD="1"/>
</file>

<file path=xl/ctrlProps/ctrlProp18.xml><?xml version="1.0" encoding="utf-8"?>
<formControlPr xmlns="http://schemas.microsoft.com/office/spreadsheetml/2009/9/main" objectType="CheckBox" fmlaLink="$D$12" lockText="1" noThreeD="1"/>
</file>

<file path=xl/ctrlProps/ctrlProp19.xml><?xml version="1.0" encoding="utf-8"?>
<formControlPr xmlns="http://schemas.microsoft.com/office/spreadsheetml/2009/9/main" objectType="CheckBox" fmlaLink="$D$7" lockText="1" noThreeD="1"/>
</file>

<file path=xl/ctrlProps/ctrlProp20.xml><?xml version="1.0" encoding="utf-8"?>
<formControlPr xmlns="http://schemas.microsoft.com/office/spreadsheetml/2009/9/main" objectType="CheckBox" fmlaLink="$D$7" lockText="1" noThreeD="1"/>
</file>

<file path=xl/ctrlProps/ctrlProp21.xml><?xml version="1.0" encoding="utf-8"?>
<formControlPr xmlns="http://schemas.microsoft.com/office/spreadsheetml/2009/9/main" objectType="CheckBox" checked="Checked" fmlaLink="$D$8" lockText="1" noThreeD="1"/>
</file>

<file path=xl/ctrlProps/ctrlProp22.xml><?xml version="1.0" encoding="utf-8"?>
<formControlPr xmlns="http://schemas.microsoft.com/office/spreadsheetml/2009/9/main" objectType="CheckBox" checked="Checked" fmlaLink="$D$10" lockText="1" noThreeD="1"/>
</file>

<file path=xl/ctrlProps/ctrlProp23.xml><?xml version="1.0" encoding="utf-8"?>
<formControlPr xmlns="http://schemas.microsoft.com/office/spreadsheetml/2009/9/main" objectType="CheckBox" checked="Checked" fmlaLink="$D$11" lockText="1" noThreeD="1"/>
</file>

<file path=xl/ctrlProps/ctrlProp24.xml><?xml version="1.0" encoding="utf-8"?>
<formControlPr xmlns="http://schemas.microsoft.com/office/spreadsheetml/2009/9/main" objectType="CheckBox" checked="Checked" fmlaLink="$D$12" lockText="1" noThreeD="1"/>
</file>

<file path=xl/ctrlProps/ctrlProp25.xml><?xml version="1.0" encoding="utf-8"?>
<formControlPr xmlns="http://schemas.microsoft.com/office/spreadsheetml/2009/9/main" objectType="CheckBox" checked="Checked" fmlaLink="$D$13" lockText="1" noThreeD="1"/>
</file>

<file path=xl/ctrlProps/ctrlProp26.xml><?xml version="1.0" encoding="utf-8"?>
<formControlPr xmlns="http://schemas.microsoft.com/office/spreadsheetml/2009/9/main" objectType="CheckBox" checked="Checked" fmlaLink="$D$14" lockText="1" noThreeD="1"/>
</file>

<file path=xl/ctrlProps/ctrlProp27.xml><?xml version="1.0" encoding="utf-8"?>
<formControlPr xmlns="http://schemas.microsoft.com/office/spreadsheetml/2009/9/main" objectType="CheckBox" checked="Checked" fmlaLink="$D$15" lockText="1" noThreeD="1"/>
</file>

<file path=xl/ctrlProps/ctrlProp28.xml><?xml version="1.0" encoding="utf-8"?>
<formControlPr xmlns="http://schemas.microsoft.com/office/spreadsheetml/2009/9/main" objectType="CheckBox" checked="Checked" fmlaLink="$D$16" lockText="1" noThreeD="1"/>
</file>

<file path=xl/ctrlProps/ctrlProp29.xml><?xml version="1.0" encoding="utf-8"?>
<formControlPr xmlns="http://schemas.microsoft.com/office/spreadsheetml/2009/9/main" objectType="CheckBox" checked="Checked" fmlaLink="$D$17" lockText="1" noThreeD="1"/>
</file>

<file path=xl/ctrlProps/ctrlProp30.xml><?xml version="1.0" encoding="utf-8"?>
<formControlPr xmlns="http://schemas.microsoft.com/office/spreadsheetml/2009/9/main" objectType="CheckBox" checked="Checked" fmlaLink="$D$18" lockText="1" noThreeD="1"/>
</file>

<file path=xl/ctrlProps/ctrlProp31.xml><?xml version="1.0" encoding="utf-8"?>
<formControlPr xmlns="http://schemas.microsoft.com/office/spreadsheetml/2009/9/main" objectType="CheckBox" checked="Checked" fmlaLink="$D$19" lockText="1" noThreeD="1"/>
</file>

<file path=xl/ctrlProps/ctrlProp32.xml><?xml version="1.0" encoding="utf-8"?>
<formControlPr xmlns="http://schemas.microsoft.com/office/spreadsheetml/2009/9/main" objectType="CheckBox" checked="Checked" fmlaLink="$D$20" lockText="1" noThreeD="1"/>
</file>

<file path=xl/ctrlProps/ctrlProp33.xml><?xml version="1.0" encoding="utf-8"?>
<formControlPr xmlns="http://schemas.microsoft.com/office/spreadsheetml/2009/9/main" objectType="CheckBox" checked="Checked" fmlaLink="$D$21" lockText="1" noThreeD="1"/>
</file>

<file path=xl/ctrlProps/ctrlProp34.xml><?xml version="1.0" encoding="utf-8"?>
<formControlPr xmlns="http://schemas.microsoft.com/office/spreadsheetml/2009/9/main" objectType="CheckBox" checked="Checked" fmlaLink="$D$22" lockText="1" noThreeD="1"/>
</file>

<file path=xl/ctrlProps/ctrlProp35.xml><?xml version="1.0" encoding="utf-8"?>
<formControlPr xmlns="http://schemas.microsoft.com/office/spreadsheetml/2009/9/main" objectType="CheckBox" checked="Checked" fmlaLink="$D$23" lockText="1" noThreeD="1"/>
</file>

<file path=xl/ctrlProps/ctrlProp36.xml><?xml version="1.0" encoding="utf-8"?>
<formControlPr xmlns="http://schemas.microsoft.com/office/spreadsheetml/2009/9/main" objectType="CheckBox" checked="Checked" fmlaLink="$D$24" lockText="1" noThreeD="1"/>
</file>

<file path=xl/ctrlProps/ctrlProp37.xml><?xml version="1.0" encoding="utf-8"?>
<formControlPr xmlns="http://schemas.microsoft.com/office/spreadsheetml/2009/9/main" objectType="CheckBox" checked="Checked" fmlaLink="$D$25" lockText="1" noThreeD="1"/>
</file>

<file path=xl/ctrlProps/ctrlProp38.xml><?xml version="1.0" encoding="utf-8"?>
<formControlPr xmlns="http://schemas.microsoft.com/office/spreadsheetml/2009/9/main" objectType="CheckBox" checked="Checked" fmlaLink="$D$26" lockText="1" noThreeD="1"/>
</file>

<file path=xl/ctrlProps/ctrlProp39.xml><?xml version="1.0" encoding="utf-8"?>
<formControlPr xmlns="http://schemas.microsoft.com/office/spreadsheetml/2009/9/main" objectType="CheckBox" checked="Checked" fmlaLink="$D$27" lockText="1" noThreeD="1"/>
</file>

<file path=xl/ctrlProps/ctrlProp40.xml><?xml version="1.0" encoding="utf-8"?>
<formControlPr xmlns="http://schemas.microsoft.com/office/spreadsheetml/2009/9/main" objectType="CheckBox" checked="Checked" fmlaLink="$D$28" lockText="1" noThreeD="1"/>
</file>

<file path=xl/ctrlProps/ctrlProp41.xml><?xml version="1.0" encoding="utf-8"?>
<formControlPr xmlns="http://schemas.microsoft.com/office/spreadsheetml/2009/9/main" objectType="CheckBox" checked="Checked" fmlaLink="$D$29" lockText="1" noThreeD="1"/>
</file>

<file path=xl/ctrlProps/ctrlProp42.xml><?xml version="1.0" encoding="utf-8"?>
<formControlPr xmlns="http://schemas.microsoft.com/office/spreadsheetml/2009/9/main" objectType="CheckBox" checked="Checked" fmlaLink="$D$9" lockText="1" noThreeD="1"/>
</file>

<file path=xl/ctrlProps/ctrlProp43.xml><?xml version="1.0" encoding="utf-8"?>
<formControlPr xmlns="http://schemas.microsoft.com/office/spreadsheetml/2009/9/main" objectType="CheckBox" checked="Checked" fmlaLink="$D$9" lockText="1" noThreeD="1"/>
</file>

<file path=xl/ctrlProps/ctrlProp44.xml><?xml version="1.0" encoding="utf-8"?>
<formControlPr xmlns="http://schemas.microsoft.com/office/spreadsheetml/2009/9/main" objectType="CheckBox" fmlaLink="$D$10" lockText="1" noThreeD="1"/>
</file>

<file path=xl/ctrlProps/ctrlProp45.xml><?xml version="1.0" encoding="utf-8"?>
<formControlPr xmlns="http://schemas.microsoft.com/office/spreadsheetml/2009/9/main" objectType="CheckBox" fmlaLink="$D$11" lockText="1" noThreeD="1"/>
</file>

<file path=xl/ctrlProps/ctrlProp46.xml><?xml version="1.0" encoding="utf-8"?>
<formControlPr xmlns="http://schemas.microsoft.com/office/spreadsheetml/2009/9/main" objectType="CheckBox" checked="Checked" fmlaLink="$D$9" lockText="1" noThreeD="1"/>
</file>

<file path=xl/ctrlProps/ctrlProp47.xml><?xml version="1.0" encoding="utf-8"?>
<formControlPr xmlns="http://schemas.microsoft.com/office/spreadsheetml/2009/9/main" objectType="CheckBox" fmlaLink="$D$12" lockText="1" noThreeD="1"/>
</file>

<file path=xl/ctrlProps/ctrlProp48.xml><?xml version="1.0" encoding="utf-8"?>
<formControlPr xmlns="http://schemas.microsoft.com/office/spreadsheetml/2009/9/main" objectType="CheckBox" fmlaLink="$D$13" lockText="1" noThreeD="1"/>
</file>

<file path=xl/ctrlProps/ctrlProp49.xml><?xml version="1.0" encoding="utf-8"?>
<formControlPr xmlns="http://schemas.microsoft.com/office/spreadsheetml/2009/9/main" objectType="CheckBox" fmlaLink="$D$14" lockText="1" noThreeD="1"/>
</file>

<file path=xl/ctrlProps/ctrlProp50.xml><?xml version="1.0" encoding="utf-8"?>
<formControlPr xmlns="http://schemas.microsoft.com/office/spreadsheetml/2009/9/main" objectType="CheckBox" checked="Checked" fmlaLink="$D$9" lockText="1" noThreeD="1"/>
</file>

<file path=xl/ctrlProps/ctrlProp51.xml><?xml version="1.0" encoding="utf-8"?>
<formControlPr xmlns="http://schemas.microsoft.com/office/spreadsheetml/2009/9/main" objectType="CheckBox" fmlaLink="$D$15" lockText="1" noThreeD="1"/>
</file>

<file path=xl/ctrlProps/ctrlProp52.xml><?xml version="1.0" encoding="utf-8"?>
<formControlPr xmlns="http://schemas.microsoft.com/office/spreadsheetml/2009/9/main" objectType="CheckBox" fmlaLink="$D$16" lockText="1" noThreeD="1"/>
</file>

<file path=xl/ctrlProps/ctrlProp53.xml><?xml version="1.0" encoding="utf-8"?>
<formControlPr xmlns="http://schemas.microsoft.com/office/spreadsheetml/2009/9/main" objectType="CheckBox" fmlaLink="$D$17" lockText="1" noThreeD="1"/>
</file>

<file path=xl/ctrlProps/ctrlProp54.xml><?xml version="1.0" encoding="utf-8"?>
<formControlPr xmlns="http://schemas.microsoft.com/office/spreadsheetml/2009/9/main" objectType="CheckBox" checked="Checked" fmlaLink="$D$9" lockText="1" noThreeD="1"/>
</file>

<file path=xl/ctrlProps/ctrlProp55.xml><?xml version="1.0" encoding="utf-8"?>
<formControlPr xmlns="http://schemas.microsoft.com/office/spreadsheetml/2009/9/main" objectType="CheckBox" fmlaLink="$D$18" lockText="1" noThreeD="1"/>
</file>

<file path=xl/ctrlProps/ctrlProp56.xml><?xml version="1.0" encoding="utf-8"?>
<formControlPr xmlns="http://schemas.microsoft.com/office/spreadsheetml/2009/9/main" objectType="CheckBox" checked="Checked" fmlaLink="$D$9" lockText="1" noThreeD="1"/>
</file>

<file path=xl/ctrlProps/ctrlProp57.xml><?xml version="1.0" encoding="utf-8"?>
<formControlPr xmlns="http://schemas.microsoft.com/office/spreadsheetml/2009/9/main" objectType="CheckBox" fmlaLink="$D$19" lockText="1" noThreeD="1"/>
</file>

<file path=xl/ctrlProps/ctrlProp58.xml><?xml version="1.0" encoding="utf-8"?>
<formControlPr xmlns="http://schemas.microsoft.com/office/spreadsheetml/2009/9/main" objectType="CheckBox" checked="Checked" fmlaLink="$D$8" lockText="1" noThreeD="1"/>
</file>

<file path=xl/ctrlProps/ctrlProp59.xml><?xml version="1.0" encoding="utf-8"?>
<formControlPr xmlns="http://schemas.microsoft.com/office/spreadsheetml/2009/9/main" objectType="CheckBox" fmlaLink="$D$9" lockText="1" noThreeD="1"/>
</file>

<file path=xl/ctrlProps/ctrlProp60.xml><?xml version="1.0" encoding="utf-8"?>
<formControlPr xmlns="http://schemas.microsoft.com/office/spreadsheetml/2009/9/main" objectType="CheckBox" fmlaLink="$D$10" lockText="1" noThreeD="1"/>
</file>

<file path=xl/ctrlProps/ctrlProp61.xml><?xml version="1.0" encoding="utf-8"?>
<formControlPr xmlns="http://schemas.microsoft.com/office/spreadsheetml/2009/9/main" objectType="CheckBox" checked="Checked" fmlaLink="$D$8" lockText="1" noThreeD="1"/>
</file>

<file path=xl/ctrlProps/ctrlProp62.xml><?xml version="1.0" encoding="utf-8"?>
<formControlPr xmlns="http://schemas.microsoft.com/office/spreadsheetml/2009/9/main" objectType="CheckBox" fmlaLink="$D$11" lockText="1" noThreeD="1"/>
</file>

<file path=xl/ctrlProps/ctrlProp63.xml><?xml version="1.0" encoding="utf-8"?>
<formControlPr xmlns="http://schemas.microsoft.com/office/spreadsheetml/2009/9/main" objectType="CheckBox" checked="Checked" fmlaLink="$D$8" lockText="1" noThreeD="1"/>
</file>

<file path=xl/ctrlProps/ctrlProp64.xml><?xml version="1.0" encoding="utf-8"?>
<formControlPr xmlns="http://schemas.microsoft.com/office/spreadsheetml/2009/9/main" objectType="CheckBox" checked="Checked" fmlaLink="$D$12" lockText="1" noThreeD="1"/>
</file>

<file path=xl/ctrlProps/ctrlProp65.xml><?xml version="1.0" encoding="utf-8"?>
<formControlPr xmlns="http://schemas.microsoft.com/office/spreadsheetml/2009/9/main" objectType="CheckBox" checked="Checked" fmlaLink="$D$8" lockText="1" noThreeD="1"/>
</file>

<file path=xl/ctrlProps/ctrlProp66.xml><?xml version="1.0" encoding="utf-8"?>
<formControlPr xmlns="http://schemas.microsoft.com/office/spreadsheetml/2009/9/main" objectType="CheckBox" fmlaLink="$D$13" lockText="1" noThreeD="1"/>
</file>

<file path=xl/ctrlProps/ctrlProp67.xml><?xml version="1.0" encoding="utf-8"?>
<formControlPr xmlns="http://schemas.microsoft.com/office/spreadsheetml/2009/9/main" objectType="CheckBox" checked="Checked" fmlaLink="$D$8" lockText="1" noThreeD="1"/>
</file>

<file path=xl/ctrlProps/ctrlProp68.xml><?xml version="1.0" encoding="utf-8"?>
<formControlPr xmlns="http://schemas.microsoft.com/office/spreadsheetml/2009/9/main" objectType="CheckBox" fmlaLink="$D$14" lockText="1" noThreeD="1"/>
</file>

<file path=xl/ctrlProps/ctrlProp69.xml><?xml version="1.0" encoding="utf-8"?>
<formControlPr xmlns="http://schemas.microsoft.com/office/spreadsheetml/2009/9/main" objectType="CheckBox" checked="Checked" fmlaLink="$D$8" lockText="1" noThreeD="1"/>
</file>

<file path=xl/ctrlProps/ctrlProp70.xml><?xml version="1.0" encoding="utf-8"?>
<formControlPr xmlns="http://schemas.microsoft.com/office/spreadsheetml/2009/9/main" objectType="CheckBox" fmlaLink="$D$15" lockText="1" noThreeD="1"/>
</file>

<file path=xl/ctrlProps/ctrlProp71.xml><?xml version="1.0" encoding="utf-8"?>
<formControlPr xmlns="http://schemas.microsoft.com/office/spreadsheetml/2009/9/main" objectType="CheckBox" checked="Checked" fmlaLink="$D$8" lockText="1" noThreeD="1"/>
</file>

<file path=xl/ctrlProps/ctrlProp72.xml><?xml version="1.0" encoding="utf-8"?>
<formControlPr xmlns="http://schemas.microsoft.com/office/spreadsheetml/2009/9/main" objectType="CheckBox" fmlaLink="$D$16" lockText="1" noThreeD="1"/>
</file>

<file path=xl/ctrlProps/ctrlProp73.xml><?xml version="1.0" encoding="utf-8"?>
<formControlPr xmlns="http://schemas.microsoft.com/office/spreadsheetml/2009/9/main" objectType="CheckBox" checked="Checked" fmlaLink="$D$8" lockText="1" noThreeD="1"/>
</file>

<file path=xl/ctrlProps/ctrlProp74.xml><?xml version="1.0" encoding="utf-8"?>
<formControlPr xmlns="http://schemas.microsoft.com/office/spreadsheetml/2009/9/main" objectType="CheckBox" fmlaLink="$D$17" lockText="1" noThreeD="1"/>
</file>

<file path=xl/ctrlProps/ctrlProp75.xml><?xml version="1.0" encoding="utf-8"?>
<formControlPr xmlns="http://schemas.microsoft.com/office/spreadsheetml/2009/9/main" objectType="CheckBox" checked="Checked" fmlaLink="$D$8" lockText="1" noThreeD="1"/>
</file>

<file path=xl/ctrlProps/ctrlProp76.xml><?xml version="1.0" encoding="utf-8"?>
<formControlPr xmlns="http://schemas.microsoft.com/office/spreadsheetml/2009/9/main" objectType="CheckBox" checked="Checked" fmlaLink="$D$18" lockText="1" noThreeD="1"/>
</file>

<file path=xl/ctrlProps/ctrlProp77.xml><?xml version="1.0" encoding="utf-8"?>
<formControlPr xmlns="http://schemas.microsoft.com/office/spreadsheetml/2009/9/main" objectType="CheckBox" checked="Checked" fmlaLink="$D$8" lockText="1" noThreeD="1"/>
</file>

<file path=xl/ctrlProps/ctrlProp78.xml><?xml version="1.0" encoding="utf-8"?>
<formControlPr xmlns="http://schemas.microsoft.com/office/spreadsheetml/2009/9/main" objectType="CheckBox" fmlaLink="$D$19" lockText="1" noThreeD="1"/>
</file>

<file path=xl/ctrlProps/ctrlProp79.xml><?xml version="1.0" encoding="utf-8"?>
<formControlPr xmlns="http://schemas.microsoft.com/office/spreadsheetml/2009/9/main" objectType="CheckBox" checked="Checked" fmlaLink="$D$8" lockText="1" noThreeD="1"/>
</file>

<file path=xl/ctrlProps/ctrlProp80.xml><?xml version="1.0" encoding="utf-8"?>
<formControlPr xmlns="http://schemas.microsoft.com/office/spreadsheetml/2009/9/main" objectType="CheckBox" fmlaLink="$D$20" lockText="1" noThreeD="1"/>
</file>

<file path=xl/ctrlProps/ctrlProp81.xml><?xml version="1.0" encoding="utf-8"?>
<formControlPr xmlns="http://schemas.microsoft.com/office/spreadsheetml/2009/9/main" objectType="CheckBox" checked="Checked" fmlaLink="$D$8" lockText="1" noThreeD="1"/>
</file>

<file path=xl/ctrlProps/ctrlProp82.xml><?xml version="1.0" encoding="utf-8"?>
<formControlPr xmlns="http://schemas.microsoft.com/office/spreadsheetml/2009/9/main" objectType="CheckBox" fmlaLink="$D$21" lockText="1" noThreeD="1"/>
</file>

<file path=xl/ctrlProps/ctrlProp83.xml><?xml version="1.0" encoding="utf-8"?>
<formControlPr xmlns="http://schemas.microsoft.com/office/spreadsheetml/2009/9/main" objectType="CheckBox" checked="Checked" fmlaLink="$D$8" lockText="1" noThreeD="1"/>
</file>

<file path=xl/ctrlProps/ctrlProp84.xml><?xml version="1.0" encoding="utf-8"?>
<formControlPr xmlns="http://schemas.microsoft.com/office/spreadsheetml/2009/9/main" objectType="CheckBox" fmlaLink="$D$22" lockText="1" noThreeD="1"/>
</file>

<file path=xl/ctrlProps/ctrlProp85.xml><?xml version="1.0" encoding="utf-8"?>
<formControlPr xmlns="http://schemas.microsoft.com/office/spreadsheetml/2009/9/main" objectType="CheckBox" checked="Checked" fmlaLink="$D$8" lockText="1" noThreeD="1"/>
</file>

<file path=xl/ctrlProps/ctrlProp86.xml><?xml version="1.0" encoding="utf-8"?>
<formControlPr xmlns="http://schemas.microsoft.com/office/spreadsheetml/2009/9/main" objectType="CheckBox" fmlaLink="$D$23" lockText="1" noThreeD="1"/>
</file>

<file path=xl/ctrlProps/ctrlProp87.xml><?xml version="1.0" encoding="utf-8"?>
<formControlPr xmlns="http://schemas.microsoft.com/office/spreadsheetml/2009/9/main" objectType="CheckBox" checked="Checked" fmlaLink="$D$8" lockText="1" noThreeD="1"/>
</file>

<file path=xl/ctrlProps/ctrlProp88.xml><?xml version="1.0" encoding="utf-8"?>
<formControlPr xmlns="http://schemas.microsoft.com/office/spreadsheetml/2009/9/main" objectType="CheckBox" fmlaLink="$D$24"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hyperlink" Target="#'Home dashboard'!A1"/><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svg"/><Relationship Id="rId7" Type="http://schemas.openxmlformats.org/officeDocument/2006/relationships/image" Target="../media/image1.png"/><Relationship Id="rId2" Type="http://schemas.openxmlformats.org/officeDocument/2006/relationships/image" Target="../media/image5.png"/><Relationship Id="rId1" Type="http://schemas.openxmlformats.org/officeDocument/2006/relationships/hyperlink" Target="#'Home dashboard'!A1"/><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6.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hyperlink" Target="#'Home dashboard'!A1"/><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image" Target="../media/image3.png"/><Relationship Id="rId7" Type="http://schemas.openxmlformats.org/officeDocument/2006/relationships/image" Target="../media/image6.svg"/><Relationship Id="rId2" Type="http://schemas.openxmlformats.org/officeDocument/2006/relationships/image" Target="../media/image2.png"/><Relationship Id="rId1" Type="http://schemas.openxmlformats.org/officeDocument/2006/relationships/image" Target="../media/image7.png"/><Relationship Id="rId6" Type="http://schemas.openxmlformats.org/officeDocument/2006/relationships/image" Target="../media/image5.png"/><Relationship Id="rId5" Type="http://schemas.openxmlformats.org/officeDocument/2006/relationships/hyperlink" Target="#'Home dashboard'!A1"/><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7.png"/><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chart" Target="../charts/chart3.xml"/><Relationship Id="rId7" Type="http://schemas.openxmlformats.org/officeDocument/2006/relationships/image" Target="../media/image10.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Home dashboard'!A1"/><Relationship Id="rId5" Type="http://schemas.openxmlformats.org/officeDocument/2006/relationships/image" Target="../media/image9.svg"/><Relationship Id="rId4" Type="http://schemas.openxmlformats.org/officeDocument/2006/relationships/image" Target="../media/image8.png"/></Relationships>
</file>

<file path=xl/drawings/_rels/drawing9.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image" Target="../media/image12.png"/><Relationship Id="rId7" Type="http://schemas.openxmlformats.org/officeDocument/2006/relationships/chart" Target="../charts/chart6.xml"/><Relationship Id="rId2" Type="http://schemas.openxmlformats.org/officeDocument/2006/relationships/hyperlink" Target="#'Home dashboard'!A1"/><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xdr:twoCellAnchor>
    <xdr:from>
      <xdr:col>1</xdr:col>
      <xdr:colOff>34636</xdr:colOff>
      <xdr:row>0</xdr:row>
      <xdr:rowOff>25976</xdr:rowOff>
    </xdr:from>
    <xdr:to>
      <xdr:col>27</xdr:col>
      <xdr:colOff>337705</xdr:colOff>
      <xdr:row>47</xdr:row>
      <xdr:rowOff>71549</xdr:rowOff>
    </xdr:to>
    <xdr:sp macro="" textlink="">
      <xdr:nvSpPr>
        <xdr:cNvPr id="62" name="Rectangle 61">
          <a:extLst>
            <a:ext uri="{FF2B5EF4-FFF2-40B4-BE49-F238E27FC236}">
              <a16:creationId xmlns:a16="http://schemas.microsoft.com/office/drawing/2014/main" id="{CAF3EB4A-B5F9-48A6-A0C5-F40E9000E2A5}"/>
            </a:ext>
          </a:extLst>
        </xdr:cNvPr>
        <xdr:cNvSpPr/>
      </xdr:nvSpPr>
      <xdr:spPr>
        <a:xfrm>
          <a:off x="34636" y="25976"/>
          <a:ext cx="16813069" cy="8872967"/>
        </a:xfrm>
        <a:prstGeom prst="rect">
          <a:avLst/>
        </a:prstGeom>
        <a:noFill/>
        <a:ln w="5715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26</xdr:col>
      <xdr:colOff>120361</xdr:colOff>
      <xdr:row>0</xdr:row>
      <xdr:rowOff>61478</xdr:rowOff>
    </xdr:from>
    <xdr:to>
      <xdr:col>27</xdr:col>
      <xdr:colOff>315644</xdr:colOff>
      <xdr:row>4</xdr:row>
      <xdr:rowOff>47472</xdr:rowOff>
    </xdr:to>
    <xdr:pic>
      <xdr:nvPicPr>
        <xdr:cNvPr id="63" name="Picture 62">
          <a:extLst>
            <a:ext uri="{FF2B5EF4-FFF2-40B4-BE49-F238E27FC236}">
              <a16:creationId xmlns:a16="http://schemas.microsoft.com/office/drawing/2014/main" id="{FC754B51-B4E1-4BF2-B201-8B2D15B940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284286" y="61478"/>
          <a:ext cx="804883" cy="7479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603250</xdr:colOff>
      <xdr:row>8</xdr:row>
      <xdr:rowOff>155864</xdr:rowOff>
    </xdr:from>
    <xdr:to>
      <xdr:col>9</xdr:col>
      <xdr:colOff>17317</xdr:colOff>
      <xdr:row>14</xdr:row>
      <xdr:rowOff>17318</xdr:rowOff>
    </xdr:to>
    <xdr:sp macro="" textlink="">
      <xdr:nvSpPr>
        <xdr:cNvPr id="64" name="Rectangle: Rounded Corners 63">
          <a:extLst>
            <a:ext uri="{FF2B5EF4-FFF2-40B4-BE49-F238E27FC236}">
              <a16:creationId xmlns:a16="http://schemas.microsoft.com/office/drawing/2014/main" id="{FC74EE70-8CCA-4EE3-8A71-776B938A4DA1}"/>
            </a:ext>
          </a:extLst>
        </xdr:cNvPr>
        <xdr:cNvSpPr/>
      </xdr:nvSpPr>
      <xdr:spPr>
        <a:xfrm>
          <a:off x="1873250" y="1616364"/>
          <a:ext cx="3224067" cy="988579"/>
        </a:xfrm>
        <a:prstGeom prst="roundRect">
          <a:avLst/>
        </a:prstGeom>
        <a:noFill/>
        <a:ln w="762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10</xdr:col>
      <xdr:colOff>619125</xdr:colOff>
      <xdr:row>8</xdr:row>
      <xdr:rowOff>155864</xdr:rowOff>
    </xdr:from>
    <xdr:to>
      <xdr:col>16</xdr:col>
      <xdr:colOff>34637</xdr:colOff>
      <xdr:row>14</xdr:row>
      <xdr:rowOff>17318</xdr:rowOff>
    </xdr:to>
    <xdr:sp macro="" textlink="">
      <xdr:nvSpPr>
        <xdr:cNvPr id="65" name="Rectangle: Rounded Corners 64">
          <a:extLst>
            <a:ext uri="{FF2B5EF4-FFF2-40B4-BE49-F238E27FC236}">
              <a16:creationId xmlns:a16="http://schemas.microsoft.com/office/drawing/2014/main" id="{B222E548-E67F-4016-8B0F-E8702AE46D23}"/>
            </a:ext>
          </a:extLst>
        </xdr:cNvPr>
        <xdr:cNvSpPr/>
      </xdr:nvSpPr>
      <xdr:spPr>
        <a:xfrm>
          <a:off x="6334125" y="1616364"/>
          <a:ext cx="3225512" cy="988579"/>
        </a:xfrm>
        <a:prstGeom prst="roundRect">
          <a:avLst/>
        </a:prstGeom>
        <a:noFill/>
        <a:ln w="762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17</xdr:col>
      <xdr:colOff>611187</xdr:colOff>
      <xdr:row>8</xdr:row>
      <xdr:rowOff>164523</xdr:rowOff>
    </xdr:from>
    <xdr:to>
      <xdr:col>23</xdr:col>
      <xdr:colOff>17316</xdr:colOff>
      <xdr:row>14</xdr:row>
      <xdr:rowOff>25977</xdr:rowOff>
    </xdr:to>
    <xdr:sp macro="" textlink="">
      <xdr:nvSpPr>
        <xdr:cNvPr id="66" name="Rectangle: Rounded Corners 65">
          <a:extLst>
            <a:ext uri="{FF2B5EF4-FFF2-40B4-BE49-F238E27FC236}">
              <a16:creationId xmlns:a16="http://schemas.microsoft.com/office/drawing/2014/main" id="{96E800FF-2722-44EE-B207-6A3A93427430}"/>
            </a:ext>
          </a:extLst>
        </xdr:cNvPr>
        <xdr:cNvSpPr/>
      </xdr:nvSpPr>
      <xdr:spPr>
        <a:xfrm>
          <a:off x="10771187" y="1625023"/>
          <a:ext cx="3216129" cy="988579"/>
        </a:xfrm>
        <a:prstGeom prst="roundRect">
          <a:avLst/>
        </a:prstGeom>
        <a:noFill/>
        <a:ln w="762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3</xdr:col>
      <xdr:colOff>627062</xdr:colOff>
      <xdr:row>16</xdr:row>
      <xdr:rowOff>173182</xdr:rowOff>
    </xdr:from>
    <xdr:to>
      <xdr:col>9</xdr:col>
      <xdr:colOff>25975</xdr:colOff>
      <xdr:row>22</xdr:row>
      <xdr:rowOff>34636</xdr:rowOff>
    </xdr:to>
    <xdr:sp macro="" textlink="">
      <xdr:nvSpPr>
        <xdr:cNvPr id="67" name="Rectangle: Rounded Corners 66">
          <a:extLst>
            <a:ext uri="{FF2B5EF4-FFF2-40B4-BE49-F238E27FC236}">
              <a16:creationId xmlns:a16="http://schemas.microsoft.com/office/drawing/2014/main" id="{9920E3AF-3945-4059-B31E-6FA1C87F6E1E}"/>
            </a:ext>
          </a:extLst>
        </xdr:cNvPr>
        <xdr:cNvSpPr/>
      </xdr:nvSpPr>
      <xdr:spPr>
        <a:xfrm>
          <a:off x="1897062" y="3125932"/>
          <a:ext cx="3208913" cy="956829"/>
        </a:xfrm>
        <a:prstGeom prst="roundRect">
          <a:avLst/>
        </a:prstGeom>
        <a:noFill/>
        <a:ln w="762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10</xdr:col>
      <xdr:colOff>603250</xdr:colOff>
      <xdr:row>16</xdr:row>
      <xdr:rowOff>164523</xdr:rowOff>
    </xdr:from>
    <xdr:to>
      <xdr:col>16</xdr:col>
      <xdr:colOff>25978</xdr:colOff>
      <xdr:row>22</xdr:row>
      <xdr:rowOff>25977</xdr:rowOff>
    </xdr:to>
    <xdr:sp macro="" textlink="">
      <xdr:nvSpPr>
        <xdr:cNvPr id="68" name="Rectangle: Rounded Corners 67">
          <a:extLst>
            <a:ext uri="{FF2B5EF4-FFF2-40B4-BE49-F238E27FC236}">
              <a16:creationId xmlns:a16="http://schemas.microsoft.com/office/drawing/2014/main" id="{DA1DCB24-4789-4513-81FC-65423C2C1D75}"/>
            </a:ext>
          </a:extLst>
        </xdr:cNvPr>
        <xdr:cNvSpPr/>
      </xdr:nvSpPr>
      <xdr:spPr>
        <a:xfrm>
          <a:off x="6318250" y="3117273"/>
          <a:ext cx="3232728" cy="956829"/>
        </a:xfrm>
        <a:prstGeom prst="roundRect">
          <a:avLst/>
        </a:prstGeom>
        <a:noFill/>
        <a:ln w="762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17</xdr:col>
      <xdr:colOff>597477</xdr:colOff>
      <xdr:row>16</xdr:row>
      <xdr:rowOff>173182</xdr:rowOff>
    </xdr:from>
    <xdr:to>
      <xdr:col>23</xdr:col>
      <xdr:colOff>10584</xdr:colOff>
      <xdr:row>22</xdr:row>
      <xdr:rowOff>34636</xdr:rowOff>
    </xdr:to>
    <xdr:sp macro="" textlink="">
      <xdr:nvSpPr>
        <xdr:cNvPr id="69" name="Rectangle: Rounded Corners 68">
          <a:extLst>
            <a:ext uri="{FF2B5EF4-FFF2-40B4-BE49-F238E27FC236}">
              <a16:creationId xmlns:a16="http://schemas.microsoft.com/office/drawing/2014/main" id="{2856933C-E18C-47AB-8D61-800CF08E9DCE}"/>
            </a:ext>
          </a:extLst>
        </xdr:cNvPr>
        <xdr:cNvSpPr/>
      </xdr:nvSpPr>
      <xdr:spPr>
        <a:xfrm>
          <a:off x="10418810" y="3221182"/>
          <a:ext cx="3096107" cy="1004454"/>
        </a:xfrm>
        <a:prstGeom prst="roundRect">
          <a:avLst/>
        </a:prstGeom>
        <a:noFill/>
        <a:ln w="762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3</xdr:col>
      <xdr:colOff>619125</xdr:colOff>
      <xdr:row>24</xdr:row>
      <xdr:rowOff>173183</xdr:rowOff>
    </xdr:from>
    <xdr:to>
      <xdr:col>9</xdr:col>
      <xdr:colOff>25977</xdr:colOff>
      <xdr:row>30</xdr:row>
      <xdr:rowOff>34637</xdr:rowOff>
    </xdr:to>
    <xdr:sp macro="" textlink="">
      <xdr:nvSpPr>
        <xdr:cNvPr id="70" name="Rectangle: Rounded Corners 69">
          <a:extLst>
            <a:ext uri="{FF2B5EF4-FFF2-40B4-BE49-F238E27FC236}">
              <a16:creationId xmlns:a16="http://schemas.microsoft.com/office/drawing/2014/main" id="{F9A31C48-1234-4B15-881E-EF953E4D6C05}"/>
            </a:ext>
          </a:extLst>
        </xdr:cNvPr>
        <xdr:cNvSpPr/>
      </xdr:nvSpPr>
      <xdr:spPr>
        <a:xfrm>
          <a:off x="1889125" y="4586433"/>
          <a:ext cx="3216852" cy="956829"/>
        </a:xfrm>
        <a:prstGeom prst="roundRect">
          <a:avLst/>
        </a:prstGeom>
        <a:noFill/>
        <a:ln w="762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10</xdr:col>
      <xdr:colOff>627063</xdr:colOff>
      <xdr:row>24</xdr:row>
      <xdr:rowOff>164523</xdr:rowOff>
    </xdr:from>
    <xdr:to>
      <xdr:col>16</xdr:col>
      <xdr:colOff>25977</xdr:colOff>
      <xdr:row>30</xdr:row>
      <xdr:rowOff>25977</xdr:rowOff>
    </xdr:to>
    <xdr:sp macro="" textlink="">
      <xdr:nvSpPr>
        <xdr:cNvPr id="71" name="Rectangle: Rounded Corners 70">
          <a:extLst>
            <a:ext uri="{FF2B5EF4-FFF2-40B4-BE49-F238E27FC236}">
              <a16:creationId xmlns:a16="http://schemas.microsoft.com/office/drawing/2014/main" id="{D209A6A1-AAE6-4BAE-8654-1C3D9C82A7D0}"/>
            </a:ext>
          </a:extLst>
        </xdr:cNvPr>
        <xdr:cNvSpPr/>
      </xdr:nvSpPr>
      <xdr:spPr>
        <a:xfrm>
          <a:off x="6342063" y="4577773"/>
          <a:ext cx="3208914" cy="956829"/>
        </a:xfrm>
        <a:prstGeom prst="roundRect">
          <a:avLst/>
        </a:prstGeom>
        <a:noFill/>
        <a:ln w="762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17</xdr:col>
      <xdr:colOff>603249</xdr:colOff>
      <xdr:row>24</xdr:row>
      <xdr:rowOff>164523</xdr:rowOff>
    </xdr:from>
    <xdr:to>
      <xdr:col>23</xdr:col>
      <xdr:colOff>25976</xdr:colOff>
      <xdr:row>30</xdr:row>
      <xdr:rowOff>25977</xdr:rowOff>
    </xdr:to>
    <xdr:sp macro="" textlink="">
      <xdr:nvSpPr>
        <xdr:cNvPr id="72" name="Rectangle: Rounded Corners 71">
          <a:extLst>
            <a:ext uri="{FF2B5EF4-FFF2-40B4-BE49-F238E27FC236}">
              <a16:creationId xmlns:a16="http://schemas.microsoft.com/office/drawing/2014/main" id="{0F80108D-5B67-4C45-8998-4C856D541791}"/>
            </a:ext>
          </a:extLst>
        </xdr:cNvPr>
        <xdr:cNvSpPr/>
      </xdr:nvSpPr>
      <xdr:spPr>
        <a:xfrm>
          <a:off x="10763249" y="4577773"/>
          <a:ext cx="3232727" cy="956829"/>
        </a:xfrm>
        <a:prstGeom prst="roundRect">
          <a:avLst/>
        </a:prstGeom>
        <a:noFill/>
        <a:ln w="762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GB" sz="1100"/>
        </a:p>
      </xdr:txBody>
    </xdr:sp>
    <xdr:clientData/>
  </xdr:twoCellAnchor>
  <xdr:twoCellAnchor>
    <xdr:from>
      <xdr:col>1</xdr:col>
      <xdr:colOff>337704</xdr:colOff>
      <xdr:row>5</xdr:row>
      <xdr:rowOff>129885</xdr:rowOff>
    </xdr:from>
    <xdr:to>
      <xdr:col>3</xdr:col>
      <xdr:colOff>112568</xdr:colOff>
      <xdr:row>9</xdr:row>
      <xdr:rowOff>21940</xdr:rowOff>
    </xdr:to>
    <xdr:pic>
      <xdr:nvPicPr>
        <xdr:cNvPr id="73" name="Picture 72">
          <a:extLst>
            <a:ext uri="{FF2B5EF4-FFF2-40B4-BE49-F238E27FC236}">
              <a16:creationId xmlns:a16="http://schemas.microsoft.com/office/drawing/2014/main" id="{142A602F-7881-4F63-A7B5-2C47FF4EC9FF}"/>
            </a:ext>
          </a:extLst>
        </xdr:cNvPr>
        <xdr:cNvPicPr>
          <a:picLocks noChangeAspect="1"/>
        </xdr:cNvPicPr>
      </xdr:nvPicPr>
      <xdr:blipFill>
        <a:blip xmlns:r="http://schemas.openxmlformats.org/officeDocument/2006/relationships" r:embed="rId2"/>
        <a:stretch>
          <a:fillRect/>
        </a:stretch>
      </xdr:blipFill>
      <xdr:spPr>
        <a:xfrm>
          <a:off x="337704" y="1082385"/>
          <a:ext cx="987137" cy="654055"/>
        </a:xfrm>
        <a:prstGeom prst="rect">
          <a:avLst/>
        </a:prstGeom>
      </xdr:spPr>
    </xdr:pic>
    <xdr:clientData/>
  </xdr:twoCellAnchor>
  <xdr:twoCellAnchor>
    <xdr:from>
      <xdr:col>1</xdr:col>
      <xdr:colOff>329045</xdr:colOff>
      <xdr:row>15</xdr:row>
      <xdr:rowOff>121228</xdr:rowOff>
    </xdr:from>
    <xdr:to>
      <xdr:col>3</xdr:col>
      <xdr:colOff>91674</xdr:colOff>
      <xdr:row>19</xdr:row>
      <xdr:rowOff>43466</xdr:rowOff>
    </xdr:to>
    <xdr:pic>
      <xdr:nvPicPr>
        <xdr:cNvPr id="74" name="Picture 73">
          <a:extLst>
            <a:ext uri="{FF2B5EF4-FFF2-40B4-BE49-F238E27FC236}">
              <a16:creationId xmlns:a16="http://schemas.microsoft.com/office/drawing/2014/main" id="{883E13F4-A25A-4225-B279-390FE43AF696}"/>
            </a:ext>
          </a:extLst>
        </xdr:cNvPr>
        <xdr:cNvPicPr>
          <a:picLocks noChangeAspect="1"/>
        </xdr:cNvPicPr>
      </xdr:nvPicPr>
      <xdr:blipFill>
        <a:blip xmlns:r="http://schemas.openxmlformats.org/officeDocument/2006/relationships" r:embed="rId3"/>
        <a:stretch>
          <a:fillRect/>
        </a:stretch>
      </xdr:blipFill>
      <xdr:spPr>
        <a:xfrm>
          <a:off x="329045" y="2978728"/>
          <a:ext cx="974902" cy="684238"/>
        </a:xfrm>
        <a:prstGeom prst="rect">
          <a:avLst/>
        </a:prstGeom>
      </xdr:spPr>
    </xdr:pic>
    <xdr:clientData/>
  </xdr:twoCellAnchor>
  <xdr:twoCellAnchor>
    <xdr:from>
      <xdr:col>1</xdr:col>
      <xdr:colOff>346363</xdr:colOff>
      <xdr:row>25</xdr:row>
      <xdr:rowOff>1</xdr:rowOff>
    </xdr:from>
    <xdr:to>
      <xdr:col>3</xdr:col>
      <xdr:colOff>89745</xdr:colOff>
      <xdr:row>28</xdr:row>
      <xdr:rowOff>56710</xdr:rowOff>
    </xdr:to>
    <xdr:pic>
      <xdr:nvPicPr>
        <xdr:cNvPr id="77" name="Picture 76">
          <a:extLst>
            <a:ext uri="{FF2B5EF4-FFF2-40B4-BE49-F238E27FC236}">
              <a16:creationId xmlns:a16="http://schemas.microsoft.com/office/drawing/2014/main" id="{FC6E1BD1-5811-469C-8D22-0931221056BB}"/>
            </a:ext>
          </a:extLst>
        </xdr:cNvPr>
        <xdr:cNvPicPr>
          <a:picLocks noChangeAspect="1"/>
        </xdr:cNvPicPr>
      </xdr:nvPicPr>
      <xdr:blipFill>
        <a:blip xmlns:r="http://schemas.openxmlformats.org/officeDocument/2006/relationships" r:embed="rId4"/>
        <a:stretch>
          <a:fillRect/>
        </a:stretch>
      </xdr:blipFill>
      <xdr:spPr>
        <a:xfrm>
          <a:off x="346363" y="4381501"/>
          <a:ext cx="955655" cy="628209"/>
        </a:xfrm>
        <a:prstGeom prst="rect">
          <a:avLst/>
        </a:prstGeom>
      </xdr:spPr>
    </xdr:pic>
    <xdr:clientData/>
  </xdr:twoCellAnchor>
  <xdr:twoCellAnchor>
    <xdr:from>
      <xdr:col>1</xdr:col>
      <xdr:colOff>303068</xdr:colOff>
      <xdr:row>34</xdr:row>
      <xdr:rowOff>25977</xdr:rowOff>
    </xdr:from>
    <xdr:to>
      <xdr:col>3</xdr:col>
      <xdr:colOff>68057</xdr:colOff>
      <xdr:row>37</xdr:row>
      <xdr:rowOff>75967</xdr:rowOff>
    </xdr:to>
    <xdr:pic>
      <xdr:nvPicPr>
        <xdr:cNvPr id="78" name="Picture 77">
          <a:extLst>
            <a:ext uri="{FF2B5EF4-FFF2-40B4-BE49-F238E27FC236}">
              <a16:creationId xmlns:a16="http://schemas.microsoft.com/office/drawing/2014/main" id="{04E1214A-9935-4A1D-A956-1DD5363FD5DB}"/>
            </a:ext>
          </a:extLst>
        </xdr:cNvPr>
        <xdr:cNvPicPr>
          <a:picLocks noChangeAspect="1"/>
        </xdr:cNvPicPr>
      </xdr:nvPicPr>
      <xdr:blipFill>
        <a:blip xmlns:r="http://schemas.openxmlformats.org/officeDocument/2006/relationships" r:embed="rId2"/>
        <a:stretch>
          <a:fillRect/>
        </a:stretch>
      </xdr:blipFill>
      <xdr:spPr>
        <a:xfrm>
          <a:off x="303068" y="6121977"/>
          <a:ext cx="977262" cy="621490"/>
        </a:xfrm>
        <a:prstGeom prst="rect">
          <a:avLst/>
        </a:prstGeom>
      </xdr:spPr>
    </xdr:pic>
    <xdr:clientData/>
  </xdr:twoCellAnchor>
  <xdr:twoCellAnchor>
    <xdr:from>
      <xdr:col>24</xdr:col>
      <xdr:colOff>536864</xdr:colOff>
      <xdr:row>5</xdr:row>
      <xdr:rowOff>112568</xdr:rowOff>
    </xdr:from>
    <xdr:to>
      <xdr:col>26</xdr:col>
      <xdr:colOff>311728</xdr:colOff>
      <xdr:row>9</xdr:row>
      <xdr:rowOff>4623</xdr:rowOff>
    </xdr:to>
    <xdr:pic>
      <xdr:nvPicPr>
        <xdr:cNvPr id="2" name="Picture 1">
          <a:extLst>
            <a:ext uri="{FF2B5EF4-FFF2-40B4-BE49-F238E27FC236}">
              <a16:creationId xmlns:a16="http://schemas.microsoft.com/office/drawing/2014/main" id="{81AE61E4-F7D9-467C-B94B-0C9AE151E240}"/>
            </a:ext>
          </a:extLst>
        </xdr:cNvPr>
        <xdr:cNvPicPr>
          <a:picLocks noChangeAspect="1"/>
        </xdr:cNvPicPr>
      </xdr:nvPicPr>
      <xdr:blipFill>
        <a:blip xmlns:r="http://schemas.openxmlformats.org/officeDocument/2006/relationships" r:embed="rId2"/>
        <a:stretch>
          <a:fillRect/>
        </a:stretch>
      </xdr:blipFill>
      <xdr:spPr>
        <a:xfrm>
          <a:off x="14478000" y="1065068"/>
          <a:ext cx="987137" cy="654055"/>
        </a:xfrm>
        <a:prstGeom prst="rect">
          <a:avLst/>
        </a:prstGeom>
      </xdr:spPr>
    </xdr:pic>
    <xdr:clientData/>
  </xdr:twoCellAnchor>
  <xdr:twoCellAnchor>
    <xdr:from>
      <xdr:col>24</xdr:col>
      <xdr:colOff>528205</xdr:colOff>
      <xdr:row>15</xdr:row>
      <xdr:rowOff>103911</xdr:rowOff>
    </xdr:from>
    <xdr:to>
      <xdr:col>26</xdr:col>
      <xdr:colOff>290834</xdr:colOff>
      <xdr:row>19</xdr:row>
      <xdr:rowOff>26149</xdr:rowOff>
    </xdr:to>
    <xdr:pic>
      <xdr:nvPicPr>
        <xdr:cNvPr id="3" name="Picture 2">
          <a:extLst>
            <a:ext uri="{FF2B5EF4-FFF2-40B4-BE49-F238E27FC236}">
              <a16:creationId xmlns:a16="http://schemas.microsoft.com/office/drawing/2014/main" id="{866B9F08-887D-419F-BBEC-892676DEC4C1}"/>
            </a:ext>
          </a:extLst>
        </xdr:cNvPr>
        <xdr:cNvPicPr>
          <a:picLocks noChangeAspect="1"/>
        </xdr:cNvPicPr>
      </xdr:nvPicPr>
      <xdr:blipFill>
        <a:blip xmlns:r="http://schemas.openxmlformats.org/officeDocument/2006/relationships" r:embed="rId3"/>
        <a:stretch>
          <a:fillRect/>
        </a:stretch>
      </xdr:blipFill>
      <xdr:spPr>
        <a:xfrm>
          <a:off x="14469341" y="2961411"/>
          <a:ext cx="974902" cy="684238"/>
        </a:xfrm>
        <a:prstGeom prst="rect">
          <a:avLst/>
        </a:prstGeom>
      </xdr:spPr>
    </xdr:pic>
    <xdr:clientData/>
  </xdr:twoCellAnchor>
  <xdr:twoCellAnchor>
    <xdr:from>
      <xdr:col>24</xdr:col>
      <xdr:colOff>545523</xdr:colOff>
      <xdr:row>24</xdr:row>
      <xdr:rowOff>173184</xdr:rowOff>
    </xdr:from>
    <xdr:to>
      <xdr:col>26</xdr:col>
      <xdr:colOff>288905</xdr:colOff>
      <xdr:row>28</xdr:row>
      <xdr:rowOff>39393</xdr:rowOff>
    </xdr:to>
    <xdr:pic>
      <xdr:nvPicPr>
        <xdr:cNvPr id="4" name="Picture 3">
          <a:extLst>
            <a:ext uri="{FF2B5EF4-FFF2-40B4-BE49-F238E27FC236}">
              <a16:creationId xmlns:a16="http://schemas.microsoft.com/office/drawing/2014/main" id="{43087D28-A217-4337-B411-50FC8F7FEFE1}"/>
            </a:ext>
          </a:extLst>
        </xdr:cNvPr>
        <xdr:cNvPicPr>
          <a:picLocks noChangeAspect="1"/>
        </xdr:cNvPicPr>
      </xdr:nvPicPr>
      <xdr:blipFill>
        <a:blip xmlns:r="http://schemas.openxmlformats.org/officeDocument/2006/relationships" r:embed="rId4"/>
        <a:stretch>
          <a:fillRect/>
        </a:stretch>
      </xdr:blipFill>
      <xdr:spPr>
        <a:xfrm>
          <a:off x="14486659" y="4745184"/>
          <a:ext cx="955655" cy="628209"/>
        </a:xfrm>
        <a:prstGeom prst="rect">
          <a:avLst/>
        </a:prstGeom>
      </xdr:spPr>
    </xdr:pic>
    <xdr:clientData/>
  </xdr:twoCellAnchor>
  <xdr:twoCellAnchor>
    <xdr:from>
      <xdr:col>24</xdr:col>
      <xdr:colOff>502228</xdr:colOff>
      <xdr:row>34</xdr:row>
      <xdr:rowOff>8660</xdr:rowOff>
    </xdr:from>
    <xdr:to>
      <xdr:col>26</xdr:col>
      <xdr:colOff>267217</xdr:colOff>
      <xdr:row>37</xdr:row>
      <xdr:rowOff>58650</xdr:rowOff>
    </xdr:to>
    <xdr:pic>
      <xdr:nvPicPr>
        <xdr:cNvPr id="5" name="Picture 4">
          <a:extLst>
            <a:ext uri="{FF2B5EF4-FFF2-40B4-BE49-F238E27FC236}">
              <a16:creationId xmlns:a16="http://schemas.microsoft.com/office/drawing/2014/main" id="{DFEF99C0-DD81-45E1-B288-152A5EA44497}"/>
            </a:ext>
          </a:extLst>
        </xdr:cNvPr>
        <xdr:cNvPicPr>
          <a:picLocks noChangeAspect="1"/>
        </xdr:cNvPicPr>
      </xdr:nvPicPr>
      <xdr:blipFill>
        <a:blip xmlns:r="http://schemas.openxmlformats.org/officeDocument/2006/relationships" r:embed="rId2"/>
        <a:stretch>
          <a:fillRect/>
        </a:stretch>
      </xdr:blipFill>
      <xdr:spPr>
        <a:xfrm>
          <a:off x="14443364" y="6485660"/>
          <a:ext cx="977262" cy="6214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538914</xdr:colOff>
      <xdr:row>0</xdr:row>
      <xdr:rowOff>75197</xdr:rowOff>
    </xdr:from>
    <xdr:to>
      <xdr:col>20</xdr:col>
      <xdr:colOff>23813</xdr:colOff>
      <xdr:row>33</xdr:row>
      <xdr:rowOff>133350</xdr:rowOff>
    </xdr:to>
    <xdr:sp macro="" textlink="">
      <xdr:nvSpPr>
        <xdr:cNvPr id="3" name="Rectangle 2">
          <a:extLst>
            <a:ext uri="{FF2B5EF4-FFF2-40B4-BE49-F238E27FC236}">
              <a16:creationId xmlns:a16="http://schemas.microsoft.com/office/drawing/2014/main" id="{E96894EA-E1F4-4FBE-B4BD-DAED390CA795}"/>
            </a:ext>
          </a:extLst>
        </xdr:cNvPr>
        <xdr:cNvSpPr/>
      </xdr:nvSpPr>
      <xdr:spPr>
        <a:xfrm>
          <a:off x="538914" y="75197"/>
          <a:ext cx="21956379" cy="1195187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504143</xdr:colOff>
      <xdr:row>5</xdr:row>
      <xdr:rowOff>39501</xdr:rowOff>
    </xdr:from>
    <xdr:to>
      <xdr:col>19</xdr:col>
      <xdr:colOff>536885</xdr:colOff>
      <xdr:row>7</xdr:row>
      <xdr:rowOff>364550</xdr:rowOff>
    </xdr:to>
    <xdr:pic>
      <xdr:nvPicPr>
        <xdr:cNvPr id="12" name="Graphic 11" descr="House with solid fill">
          <a:hlinkClick xmlns:r="http://schemas.openxmlformats.org/officeDocument/2006/relationships" r:id="rId1"/>
          <a:extLst>
            <a:ext uri="{FF2B5EF4-FFF2-40B4-BE49-F238E27FC236}">
              <a16:creationId xmlns:a16="http://schemas.microsoft.com/office/drawing/2014/main" id="{6B59EADF-733A-4755-BECF-3429CEEB2F7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804299" y="1063439"/>
          <a:ext cx="842367" cy="829654"/>
        </a:xfrm>
        <a:prstGeom prst="rect">
          <a:avLst/>
        </a:prstGeom>
      </xdr:spPr>
    </xdr:pic>
    <xdr:clientData/>
  </xdr:twoCellAnchor>
  <xdr:twoCellAnchor editAs="oneCell">
    <xdr:from>
      <xdr:col>18</xdr:col>
      <xdr:colOff>626645</xdr:colOff>
      <xdr:row>0</xdr:row>
      <xdr:rowOff>95250</xdr:rowOff>
    </xdr:from>
    <xdr:to>
      <xdr:col>20</xdr:col>
      <xdr:colOff>25065</xdr:colOff>
      <xdr:row>4</xdr:row>
      <xdr:rowOff>14609</xdr:rowOff>
    </xdr:to>
    <xdr:pic>
      <xdr:nvPicPr>
        <xdr:cNvPr id="14" name="Picture 13">
          <a:extLst>
            <a:ext uri="{FF2B5EF4-FFF2-40B4-BE49-F238E27FC236}">
              <a16:creationId xmlns:a16="http://schemas.microsoft.com/office/drawing/2014/main" id="{1B00E77D-9C41-408F-9BEC-2348B8A4428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468849" y="95250"/>
          <a:ext cx="1027696" cy="9971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13921</xdr:colOff>
      <xdr:row>1</xdr:row>
      <xdr:rowOff>13921</xdr:rowOff>
    </xdr:from>
    <xdr:to>
      <xdr:col>18</xdr:col>
      <xdr:colOff>4397</xdr:colOff>
      <xdr:row>29</xdr:row>
      <xdr:rowOff>161925</xdr:rowOff>
    </xdr:to>
    <xdr:sp macro="" textlink="">
      <xdr:nvSpPr>
        <xdr:cNvPr id="5" name="Rectangle 4">
          <a:extLst>
            <a:ext uri="{FF2B5EF4-FFF2-40B4-BE49-F238E27FC236}">
              <a16:creationId xmlns:a16="http://schemas.microsoft.com/office/drawing/2014/main" id="{6CEFBDAD-A0CB-45A8-821F-BBF1AE2CF059}"/>
            </a:ext>
          </a:extLst>
        </xdr:cNvPr>
        <xdr:cNvSpPr/>
      </xdr:nvSpPr>
      <xdr:spPr>
        <a:xfrm>
          <a:off x="1918921" y="13921"/>
          <a:ext cx="11449051" cy="748225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16</xdr:col>
      <xdr:colOff>390526</xdr:colOff>
      <xdr:row>4</xdr:row>
      <xdr:rowOff>81816</xdr:rowOff>
    </xdr:from>
    <xdr:to>
      <xdr:col>17</xdr:col>
      <xdr:colOff>118107</xdr:colOff>
      <xdr:row>5</xdr:row>
      <xdr:rowOff>270443</xdr:rowOff>
    </xdr:to>
    <xdr:pic>
      <xdr:nvPicPr>
        <xdr:cNvPr id="6" name="Graphic 5" descr="House with solid fill">
          <a:hlinkClick xmlns:r="http://schemas.openxmlformats.org/officeDocument/2006/relationships" r:id="rId1"/>
          <a:extLst>
            <a:ext uri="{FF2B5EF4-FFF2-40B4-BE49-F238E27FC236}">
              <a16:creationId xmlns:a16="http://schemas.microsoft.com/office/drawing/2014/main" id="{52C77D3E-4B52-41E6-8AD3-26961DB62BF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6792576" y="729516"/>
          <a:ext cx="714374" cy="722027"/>
        </a:xfrm>
        <a:prstGeom prst="rect">
          <a:avLst/>
        </a:prstGeom>
      </xdr:spPr>
    </xdr:pic>
    <xdr:clientData/>
  </xdr:twoCellAnchor>
  <xdr:twoCellAnchor>
    <xdr:from>
      <xdr:col>1</xdr:col>
      <xdr:colOff>307119</xdr:colOff>
      <xdr:row>5</xdr:row>
      <xdr:rowOff>12213</xdr:rowOff>
    </xdr:from>
    <xdr:to>
      <xdr:col>1</xdr:col>
      <xdr:colOff>1113692</xdr:colOff>
      <xdr:row>6</xdr:row>
      <xdr:rowOff>247649</xdr:rowOff>
    </xdr:to>
    <xdr:pic>
      <xdr:nvPicPr>
        <xdr:cNvPr id="7" name="Picture 6">
          <a:extLst>
            <a:ext uri="{FF2B5EF4-FFF2-40B4-BE49-F238E27FC236}">
              <a16:creationId xmlns:a16="http://schemas.microsoft.com/office/drawing/2014/main" id="{BEE79BD8-DA90-4B12-9B9D-DFEB58675944}"/>
            </a:ext>
          </a:extLst>
        </xdr:cNvPr>
        <xdr:cNvPicPr>
          <a:picLocks noChangeAspect="1"/>
        </xdr:cNvPicPr>
      </xdr:nvPicPr>
      <xdr:blipFill>
        <a:blip xmlns:r="http://schemas.openxmlformats.org/officeDocument/2006/relationships" r:embed="rId4"/>
        <a:stretch>
          <a:fillRect/>
        </a:stretch>
      </xdr:blipFill>
      <xdr:spPr>
        <a:xfrm>
          <a:off x="1554894" y="1136163"/>
          <a:ext cx="806573" cy="568811"/>
        </a:xfrm>
        <a:prstGeom prst="rect">
          <a:avLst/>
        </a:prstGeom>
      </xdr:spPr>
    </xdr:pic>
    <xdr:clientData/>
  </xdr:twoCellAnchor>
  <xdr:twoCellAnchor>
    <xdr:from>
      <xdr:col>1</xdr:col>
      <xdr:colOff>361019</xdr:colOff>
      <xdr:row>12</xdr:row>
      <xdr:rowOff>192866</xdr:rowOff>
    </xdr:from>
    <xdr:to>
      <xdr:col>1</xdr:col>
      <xdr:colOff>1005787</xdr:colOff>
      <xdr:row>14</xdr:row>
      <xdr:rowOff>176379</xdr:rowOff>
    </xdr:to>
    <xdr:pic>
      <xdr:nvPicPr>
        <xdr:cNvPr id="8" name="Picture 7">
          <a:extLst>
            <a:ext uri="{FF2B5EF4-FFF2-40B4-BE49-F238E27FC236}">
              <a16:creationId xmlns:a16="http://schemas.microsoft.com/office/drawing/2014/main" id="{BECA3A76-497D-4414-83E2-5B1739A823A7}"/>
            </a:ext>
          </a:extLst>
        </xdr:cNvPr>
        <xdr:cNvPicPr>
          <a:picLocks noChangeAspect="1"/>
        </xdr:cNvPicPr>
      </xdr:nvPicPr>
      <xdr:blipFill>
        <a:blip xmlns:r="http://schemas.openxmlformats.org/officeDocument/2006/relationships" r:embed="rId5"/>
        <a:stretch>
          <a:fillRect/>
        </a:stretch>
      </xdr:blipFill>
      <xdr:spPr>
        <a:xfrm>
          <a:off x="1608794" y="3250391"/>
          <a:ext cx="644768" cy="516913"/>
        </a:xfrm>
        <a:prstGeom prst="rect">
          <a:avLst/>
        </a:prstGeom>
      </xdr:spPr>
    </xdr:pic>
    <xdr:clientData/>
  </xdr:twoCellAnchor>
  <xdr:twoCellAnchor>
    <xdr:from>
      <xdr:col>1</xdr:col>
      <xdr:colOff>297963</xdr:colOff>
      <xdr:row>20</xdr:row>
      <xdr:rowOff>109050</xdr:rowOff>
    </xdr:from>
    <xdr:to>
      <xdr:col>1</xdr:col>
      <xdr:colOff>1077059</xdr:colOff>
      <xdr:row>22</xdr:row>
      <xdr:rowOff>139712</xdr:rowOff>
    </xdr:to>
    <xdr:pic>
      <xdr:nvPicPr>
        <xdr:cNvPr id="9" name="Picture 8">
          <a:extLst>
            <a:ext uri="{FF2B5EF4-FFF2-40B4-BE49-F238E27FC236}">
              <a16:creationId xmlns:a16="http://schemas.microsoft.com/office/drawing/2014/main" id="{6092C052-2205-45F1-B1EC-C589C5D6E547}"/>
            </a:ext>
          </a:extLst>
        </xdr:cNvPr>
        <xdr:cNvPicPr>
          <a:picLocks noChangeAspect="1"/>
        </xdr:cNvPicPr>
      </xdr:nvPicPr>
      <xdr:blipFill>
        <a:blip xmlns:r="http://schemas.openxmlformats.org/officeDocument/2006/relationships" r:embed="rId6"/>
        <a:stretch>
          <a:fillRect/>
        </a:stretch>
      </xdr:blipFill>
      <xdr:spPr>
        <a:xfrm>
          <a:off x="1545738" y="5300175"/>
          <a:ext cx="779096" cy="5640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228600</xdr:colOff>
          <xdr:row>7</xdr:row>
          <xdr:rowOff>0</xdr:rowOff>
        </xdr:from>
        <xdr:to>
          <xdr:col>3</xdr:col>
          <xdr:colOff>533400</xdr:colOff>
          <xdr:row>7</xdr:row>
          <xdr:rowOff>215900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8</xdr:row>
          <xdr:rowOff>12700</xdr:rowOff>
        </xdr:from>
        <xdr:to>
          <xdr:col>3</xdr:col>
          <xdr:colOff>520700</xdr:colOff>
          <xdr:row>8</xdr:row>
          <xdr:rowOff>228600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9</xdr:row>
          <xdr:rowOff>0</xdr:rowOff>
        </xdr:from>
        <xdr:to>
          <xdr:col>3</xdr:col>
          <xdr:colOff>520700</xdr:colOff>
          <xdr:row>9</xdr:row>
          <xdr:rowOff>215900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12</xdr:row>
          <xdr:rowOff>38100</xdr:rowOff>
        </xdr:from>
        <xdr:to>
          <xdr:col>3</xdr:col>
          <xdr:colOff>533400</xdr:colOff>
          <xdr:row>12</xdr:row>
          <xdr:rowOff>254000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13</xdr:row>
          <xdr:rowOff>25400</xdr:rowOff>
        </xdr:from>
        <xdr:to>
          <xdr:col>3</xdr:col>
          <xdr:colOff>533400</xdr:colOff>
          <xdr:row>13</xdr:row>
          <xdr:rowOff>254000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14</xdr:row>
          <xdr:rowOff>25400</xdr:rowOff>
        </xdr:from>
        <xdr:to>
          <xdr:col>3</xdr:col>
          <xdr:colOff>533400</xdr:colOff>
          <xdr:row>14</xdr:row>
          <xdr:rowOff>241300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15</xdr:row>
          <xdr:rowOff>25400</xdr:rowOff>
        </xdr:from>
        <xdr:to>
          <xdr:col>3</xdr:col>
          <xdr:colOff>533400</xdr:colOff>
          <xdr:row>15</xdr:row>
          <xdr:rowOff>241300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38100</xdr:rowOff>
        </xdr:from>
        <xdr:to>
          <xdr:col>3</xdr:col>
          <xdr:colOff>558800</xdr:colOff>
          <xdr:row>16</xdr:row>
          <xdr:rowOff>254000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17</xdr:row>
          <xdr:rowOff>38100</xdr:rowOff>
        </xdr:from>
        <xdr:to>
          <xdr:col>3</xdr:col>
          <xdr:colOff>533400</xdr:colOff>
          <xdr:row>17</xdr:row>
          <xdr:rowOff>241300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2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18</xdr:row>
          <xdr:rowOff>25400</xdr:rowOff>
        </xdr:from>
        <xdr:to>
          <xdr:col>3</xdr:col>
          <xdr:colOff>533400</xdr:colOff>
          <xdr:row>18</xdr:row>
          <xdr:rowOff>254000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19</xdr:row>
          <xdr:rowOff>25400</xdr:rowOff>
        </xdr:from>
        <xdr:to>
          <xdr:col>3</xdr:col>
          <xdr:colOff>533400</xdr:colOff>
          <xdr:row>19</xdr:row>
          <xdr:rowOff>254000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20</xdr:row>
          <xdr:rowOff>25400</xdr:rowOff>
        </xdr:from>
        <xdr:to>
          <xdr:col>3</xdr:col>
          <xdr:colOff>520700</xdr:colOff>
          <xdr:row>20</xdr:row>
          <xdr:rowOff>254000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2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21</xdr:row>
          <xdr:rowOff>25400</xdr:rowOff>
        </xdr:from>
        <xdr:to>
          <xdr:col>3</xdr:col>
          <xdr:colOff>533400</xdr:colOff>
          <xdr:row>21</xdr:row>
          <xdr:rowOff>254000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22</xdr:row>
          <xdr:rowOff>25400</xdr:rowOff>
        </xdr:from>
        <xdr:to>
          <xdr:col>3</xdr:col>
          <xdr:colOff>533400</xdr:colOff>
          <xdr:row>22</xdr:row>
          <xdr:rowOff>254000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23</xdr:row>
          <xdr:rowOff>25400</xdr:rowOff>
        </xdr:from>
        <xdr:to>
          <xdr:col>3</xdr:col>
          <xdr:colOff>533400</xdr:colOff>
          <xdr:row>23</xdr:row>
          <xdr:rowOff>254000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2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24</xdr:row>
          <xdr:rowOff>25400</xdr:rowOff>
        </xdr:from>
        <xdr:to>
          <xdr:col>3</xdr:col>
          <xdr:colOff>533400</xdr:colOff>
          <xdr:row>24</xdr:row>
          <xdr:rowOff>254000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200-00001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10</xdr:row>
          <xdr:rowOff>0</xdr:rowOff>
        </xdr:from>
        <xdr:to>
          <xdr:col>3</xdr:col>
          <xdr:colOff>533400</xdr:colOff>
          <xdr:row>10</xdr:row>
          <xdr:rowOff>215900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2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11</xdr:row>
          <xdr:rowOff>0</xdr:rowOff>
        </xdr:from>
        <xdr:to>
          <xdr:col>3</xdr:col>
          <xdr:colOff>533400</xdr:colOff>
          <xdr:row>11</xdr:row>
          <xdr:rowOff>215900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2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16</xdr:col>
      <xdr:colOff>649290</xdr:colOff>
      <xdr:row>1</xdr:row>
      <xdr:rowOff>26670</xdr:rowOff>
    </xdr:from>
    <xdr:to>
      <xdr:col>17</xdr:col>
      <xdr:colOff>228152</xdr:colOff>
      <xdr:row>4</xdr:row>
      <xdr:rowOff>3810</xdr:rowOff>
    </xdr:to>
    <xdr:pic>
      <xdr:nvPicPr>
        <xdr:cNvPr id="11" name="Picture 10">
          <a:extLst>
            <a:ext uri="{FF2B5EF4-FFF2-40B4-BE49-F238E27FC236}">
              <a16:creationId xmlns:a16="http://schemas.microsoft.com/office/drawing/2014/main" id="{20D4195D-775F-4611-B79A-280CE2B00B9A}"/>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632365" y="102870"/>
          <a:ext cx="559940" cy="554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215900</xdr:colOff>
          <xdr:row>6</xdr:row>
          <xdr:rowOff>0</xdr:rowOff>
        </xdr:from>
        <xdr:to>
          <xdr:col>3</xdr:col>
          <xdr:colOff>520700</xdr:colOff>
          <xdr:row>6</xdr:row>
          <xdr:rowOff>215900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2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16</xdr:col>
      <xdr:colOff>571499</xdr:colOff>
      <xdr:row>1</xdr:row>
      <xdr:rowOff>28576</xdr:rowOff>
    </xdr:from>
    <xdr:to>
      <xdr:col>17</xdr:col>
      <xdr:colOff>171602</xdr:colOff>
      <xdr:row>4</xdr:row>
      <xdr:rowOff>4266</xdr:rowOff>
    </xdr:to>
    <xdr:pic>
      <xdr:nvPicPr>
        <xdr:cNvPr id="3" name="Picture 2">
          <a:extLst>
            <a:ext uri="{FF2B5EF4-FFF2-40B4-BE49-F238E27FC236}">
              <a16:creationId xmlns:a16="http://schemas.microsoft.com/office/drawing/2014/main" id="{545D1BC4-AF48-4002-AF80-03F4A00891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54524" y="104776"/>
          <a:ext cx="581177" cy="547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13921</xdr:colOff>
      <xdr:row>1</xdr:row>
      <xdr:rowOff>13922</xdr:rowOff>
    </xdr:from>
    <xdr:to>
      <xdr:col>18</xdr:col>
      <xdr:colOff>0</xdr:colOff>
      <xdr:row>32</xdr:row>
      <xdr:rowOff>161925</xdr:rowOff>
    </xdr:to>
    <xdr:sp macro="" textlink="">
      <xdr:nvSpPr>
        <xdr:cNvPr id="4" name="Rectangle 3">
          <a:extLst>
            <a:ext uri="{FF2B5EF4-FFF2-40B4-BE49-F238E27FC236}">
              <a16:creationId xmlns:a16="http://schemas.microsoft.com/office/drawing/2014/main" id="{BF365A01-9C5E-43BF-BB68-6F5BFD37A54C}"/>
            </a:ext>
          </a:extLst>
        </xdr:cNvPr>
        <xdr:cNvSpPr/>
      </xdr:nvSpPr>
      <xdr:spPr>
        <a:xfrm>
          <a:off x="194896" y="90122"/>
          <a:ext cx="17502554" cy="805375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215900</xdr:colOff>
          <xdr:row>6</xdr:row>
          <xdr:rowOff>25400</xdr:rowOff>
        </xdr:from>
        <xdr:to>
          <xdr:col>3</xdr:col>
          <xdr:colOff>520700</xdr:colOff>
          <xdr:row>6</xdr:row>
          <xdr:rowOff>254000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7</xdr:row>
          <xdr:rowOff>25400</xdr:rowOff>
        </xdr:from>
        <xdr:to>
          <xdr:col>3</xdr:col>
          <xdr:colOff>520700</xdr:colOff>
          <xdr:row>7</xdr:row>
          <xdr:rowOff>254000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9</xdr:row>
          <xdr:rowOff>25400</xdr:rowOff>
        </xdr:from>
        <xdr:to>
          <xdr:col>3</xdr:col>
          <xdr:colOff>520700</xdr:colOff>
          <xdr:row>9</xdr:row>
          <xdr:rowOff>254000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10</xdr:row>
          <xdr:rowOff>25400</xdr:rowOff>
        </xdr:from>
        <xdr:to>
          <xdr:col>3</xdr:col>
          <xdr:colOff>520700</xdr:colOff>
          <xdr:row>10</xdr:row>
          <xdr:rowOff>254000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11</xdr:row>
          <xdr:rowOff>25400</xdr:rowOff>
        </xdr:from>
        <xdr:to>
          <xdr:col>3</xdr:col>
          <xdr:colOff>520700</xdr:colOff>
          <xdr:row>11</xdr:row>
          <xdr:rowOff>254000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12</xdr:row>
          <xdr:rowOff>25400</xdr:rowOff>
        </xdr:from>
        <xdr:to>
          <xdr:col>3</xdr:col>
          <xdr:colOff>520700</xdr:colOff>
          <xdr:row>12</xdr:row>
          <xdr:rowOff>254000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13</xdr:row>
          <xdr:rowOff>25400</xdr:rowOff>
        </xdr:from>
        <xdr:to>
          <xdr:col>3</xdr:col>
          <xdr:colOff>520700</xdr:colOff>
          <xdr:row>13</xdr:row>
          <xdr:rowOff>254000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14</xdr:row>
          <xdr:rowOff>25400</xdr:rowOff>
        </xdr:from>
        <xdr:to>
          <xdr:col>3</xdr:col>
          <xdr:colOff>520700</xdr:colOff>
          <xdr:row>14</xdr:row>
          <xdr:rowOff>254000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15</xdr:row>
          <xdr:rowOff>25400</xdr:rowOff>
        </xdr:from>
        <xdr:to>
          <xdr:col>3</xdr:col>
          <xdr:colOff>520700</xdr:colOff>
          <xdr:row>15</xdr:row>
          <xdr:rowOff>254000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16</xdr:row>
          <xdr:rowOff>25400</xdr:rowOff>
        </xdr:from>
        <xdr:to>
          <xdr:col>3</xdr:col>
          <xdr:colOff>520700</xdr:colOff>
          <xdr:row>16</xdr:row>
          <xdr:rowOff>254000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17</xdr:row>
          <xdr:rowOff>25400</xdr:rowOff>
        </xdr:from>
        <xdr:to>
          <xdr:col>3</xdr:col>
          <xdr:colOff>520700</xdr:colOff>
          <xdr:row>17</xdr:row>
          <xdr:rowOff>254000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18</xdr:row>
          <xdr:rowOff>25400</xdr:rowOff>
        </xdr:from>
        <xdr:to>
          <xdr:col>3</xdr:col>
          <xdr:colOff>520700</xdr:colOff>
          <xdr:row>18</xdr:row>
          <xdr:rowOff>254000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19</xdr:row>
          <xdr:rowOff>25400</xdr:rowOff>
        </xdr:from>
        <xdr:to>
          <xdr:col>3</xdr:col>
          <xdr:colOff>520700</xdr:colOff>
          <xdr:row>19</xdr:row>
          <xdr:rowOff>254000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20</xdr:row>
          <xdr:rowOff>25400</xdr:rowOff>
        </xdr:from>
        <xdr:to>
          <xdr:col>3</xdr:col>
          <xdr:colOff>520700</xdr:colOff>
          <xdr:row>20</xdr:row>
          <xdr:rowOff>254000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21</xdr:row>
          <xdr:rowOff>25400</xdr:rowOff>
        </xdr:from>
        <xdr:to>
          <xdr:col>3</xdr:col>
          <xdr:colOff>520700</xdr:colOff>
          <xdr:row>21</xdr:row>
          <xdr:rowOff>254000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22</xdr:row>
          <xdr:rowOff>25400</xdr:rowOff>
        </xdr:from>
        <xdr:to>
          <xdr:col>3</xdr:col>
          <xdr:colOff>520700</xdr:colOff>
          <xdr:row>22</xdr:row>
          <xdr:rowOff>254000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23</xdr:row>
          <xdr:rowOff>25400</xdr:rowOff>
        </xdr:from>
        <xdr:to>
          <xdr:col>3</xdr:col>
          <xdr:colOff>520700</xdr:colOff>
          <xdr:row>23</xdr:row>
          <xdr:rowOff>254000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24</xdr:row>
          <xdr:rowOff>25400</xdr:rowOff>
        </xdr:from>
        <xdr:to>
          <xdr:col>3</xdr:col>
          <xdr:colOff>520700</xdr:colOff>
          <xdr:row>24</xdr:row>
          <xdr:rowOff>254000</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25</xdr:row>
          <xdr:rowOff>25400</xdr:rowOff>
        </xdr:from>
        <xdr:to>
          <xdr:col>3</xdr:col>
          <xdr:colOff>520700</xdr:colOff>
          <xdr:row>25</xdr:row>
          <xdr:rowOff>254000</xdr:rowOff>
        </xdr:to>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26</xdr:row>
          <xdr:rowOff>25400</xdr:rowOff>
        </xdr:from>
        <xdr:to>
          <xdr:col>3</xdr:col>
          <xdr:colOff>520700</xdr:colOff>
          <xdr:row>26</xdr:row>
          <xdr:rowOff>254000</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27</xdr:row>
          <xdr:rowOff>25400</xdr:rowOff>
        </xdr:from>
        <xdr:to>
          <xdr:col>3</xdr:col>
          <xdr:colOff>520700</xdr:colOff>
          <xdr:row>27</xdr:row>
          <xdr:rowOff>254000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28</xdr:row>
          <xdr:rowOff>25400</xdr:rowOff>
        </xdr:from>
        <xdr:to>
          <xdr:col>3</xdr:col>
          <xdr:colOff>520700</xdr:colOff>
          <xdr:row>28</xdr:row>
          <xdr:rowOff>254000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294906</xdr:colOff>
      <xdr:row>5</xdr:row>
      <xdr:rowOff>9525</xdr:rowOff>
    </xdr:from>
    <xdr:to>
      <xdr:col>1</xdr:col>
      <xdr:colOff>1101479</xdr:colOff>
      <xdr:row>6</xdr:row>
      <xdr:rowOff>244961</xdr:rowOff>
    </xdr:to>
    <xdr:pic>
      <xdr:nvPicPr>
        <xdr:cNvPr id="8" name="Picture 7">
          <a:extLst>
            <a:ext uri="{FF2B5EF4-FFF2-40B4-BE49-F238E27FC236}">
              <a16:creationId xmlns:a16="http://schemas.microsoft.com/office/drawing/2014/main" id="{8E081E7F-EFF8-4E71-B75A-E355AF7660A4}"/>
            </a:ext>
          </a:extLst>
        </xdr:cNvPr>
        <xdr:cNvPicPr>
          <a:picLocks noChangeAspect="1"/>
        </xdr:cNvPicPr>
      </xdr:nvPicPr>
      <xdr:blipFill>
        <a:blip xmlns:r="http://schemas.openxmlformats.org/officeDocument/2006/relationships" r:embed="rId2"/>
        <a:stretch>
          <a:fillRect/>
        </a:stretch>
      </xdr:blipFill>
      <xdr:spPr>
        <a:xfrm>
          <a:off x="1542681" y="1133475"/>
          <a:ext cx="806573" cy="568811"/>
        </a:xfrm>
        <a:prstGeom prst="rect">
          <a:avLst/>
        </a:prstGeom>
      </xdr:spPr>
    </xdr:pic>
    <xdr:clientData/>
  </xdr:twoCellAnchor>
  <xdr:twoCellAnchor>
    <xdr:from>
      <xdr:col>1</xdr:col>
      <xdr:colOff>348806</xdr:colOff>
      <xdr:row>13</xdr:row>
      <xdr:rowOff>190178</xdr:rowOff>
    </xdr:from>
    <xdr:to>
      <xdr:col>1</xdr:col>
      <xdr:colOff>993574</xdr:colOff>
      <xdr:row>15</xdr:row>
      <xdr:rowOff>173691</xdr:rowOff>
    </xdr:to>
    <xdr:pic>
      <xdr:nvPicPr>
        <xdr:cNvPr id="10" name="Picture 9">
          <a:extLst>
            <a:ext uri="{FF2B5EF4-FFF2-40B4-BE49-F238E27FC236}">
              <a16:creationId xmlns:a16="http://schemas.microsoft.com/office/drawing/2014/main" id="{BC5A5F7B-1696-4525-8BA7-083E083CCC9B}"/>
            </a:ext>
          </a:extLst>
        </xdr:cNvPr>
        <xdr:cNvPicPr>
          <a:picLocks noChangeAspect="1"/>
        </xdr:cNvPicPr>
      </xdr:nvPicPr>
      <xdr:blipFill>
        <a:blip xmlns:r="http://schemas.openxmlformats.org/officeDocument/2006/relationships" r:embed="rId3"/>
        <a:stretch>
          <a:fillRect/>
        </a:stretch>
      </xdr:blipFill>
      <xdr:spPr>
        <a:xfrm>
          <a:off x="1596581" y="3247703"/>
          <a:ext cx="644768" cy="516913"/>
        </a:xfrm>
        <a:prstGeom prst="rect">
          <a:avLst/>
        </a:prstGeom>
      </xdr:spPr>
    </xdr:pic>
    <xdr:clientData/>
  </xdr:twoCellAnchor>
  <xdr:twoCellAnchor>
    <xdr:from>
      <xdr:col>1</xdr:col>
      <xdr:colOff>285750</xdr:colOff>
      <xdr:row>21</xdr:row>
      <xdr:rowOff>106362</xdr:rowOff>
    </xdr:from>
    <xdr:to>
      <xdr:col>1</xdr:col>
      <xdr:colOff>1064846</xdr:colOff>
      <xdr:row>23</xdr:row>
      <xdr:rowOff>137024</xdr:rowOff>
    </xdr:to>
    <xdr:pic>
      <xdr:nvPicPr>
        <xdr:cNvPr id="11" name="Picture 10">
          <a:extLst>
            <a:ext uri="{FF2B5EF4-FFF2-40B4-BE49-F238E27FC236}">
              <a16:creationId xmlns:a16="http://schemas.microsoft.com/office/drawing/2014/main" id="{71DC45DA-21EC-4409-BEF7-395B2281DF78}"/>
            </a:ext>
          </a:extLst>
        </xdr:cNvPr>
        <xdr:cNvPicPr>
          <a:picLocks noChangeAspect="1"/>
        </xdr:cNvPicPr>
      </xdr:nvPicPr>
      <xdr:blipFill>
        <a:blip xmlns:r="http://schemas.openxmlformats.org/officeDocument/2006/relationships" r:embed="rId4"/>
        <a:stretch>
          <a:fillRect/>
        </a:stretch>
      </xdr:blipFill>
      <xdr:spPr>
        <a:xfrm>
          <a:off x="1533525" y="5297487"/>
          <a:ext cx="779096" cy="564062"/>
        </a:xfrm>
        <a:prstGeom prst="rect">
          <a:avLst/>
        </a:prstGeom>
      </xdr:spPr>
    </xdr:pic>
    <xdr:clientData/>
  </xdr:twoCellAnchor>
  <xdr:twoCellAnchor editAs="oneCell">
    <xdr:from>
      <xdr:col>16</xdr:col>
      <xdr:colOff>257176</xdr:colOff>
      <xdr:row>4</xdr:row>
      <xdr:rowOff>91341</xdr:rowOff>
    </xdr:from>
    <xdr:to>
      <xdr:col>16</xdr:col>
      <xdr:colOff>971550</xdr:colOff>
      <xdr:row>5</xdr:row>
      <xdr:rowOff>279968</xdr:rowOff>
    </xdr:to>
    <xdr:pic>
      <xdr:nvPicPr>
        <xdr:cNvPr id="6" name="Graphic 5" descr="House with solid fill">
          <a:hlinkClick xmlns:r="http://schemas.openxmlformats.org/officeDocument/2006/relationships" r:id="rId5"/>
          <a:extLst>
            <a:ext uri="{FF2B5EF4-FFF2-40B4-BE49-F238E27FC236}">
              <a16:creationId xmlns:a16="http://schemas.microsoft.com/office/drawing/2014/main" id="{1E2D3EEA-FBF0-451A-97C6-D39FA76E599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6764001" y="739041"/>
          <a:ext cx="714374" cy="72202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228600</xdr:colOff>
          <xdr:row>8</xdr:row>
          <xdr:rowOff>25400</xdr:rowOff>
        </xdr:from>
        <xdr:to>
          <xdr:col>3</xdr:col>
          <xdr:colOff>533400</xdr:colOff>
          <xdr:row>8</xdr:row>
          <xdr:rowOff>241300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13921</xdr:colOff>
      <xdr:row>1</xdr:row>
      <xdr:rowOff>13921</xdr:rowOff>
    </xdr:from>
    <xdr:to>
      <xdr:col>15</xdr:col>
      <xdr:colOff>21167</xdr:colOff>
      <xdr:row>28</xdr:row>
      <xdr:rowOff>51289</xdr:rowOff>
    </xdr:to>
    <xdr:sp macro="" textlink="">
      <xdr:nvSpPr>
        <xdr:cNvPr id="4" name="Rectangle 3">
          <a:extLst>
            <a:ext uri="{FF2B5EF4-FFF2-40B4-BE49-F238E27FC236}">
              <a16:creationId xmlns:a16="http://schemas.microsoft.com/office/drawing/2014/main" id="{C14415E5-CCF0-49FD-916F-0CEA7DF290CD}"/>
            </a:ext>
          </a:extLst>
        </xdr:cNvPr>
        <xdr:cNvSpPr/>
      </xdr:nvSpPr>
      <xdr:spPr>
        <a:xfrm>
          <a:off x="807671" y="521921"/>
          <a:ext cx="18739746" cy="695886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215900</xdr:colOff>
          <xdr:row>7</xdr:row>
          <xdr:rowOff>330200</xdr:rowOff>
        </xdr:from>
        <xdr:to>
          <xdr:col>3</xdr:col>
          <xdr:colOff>609600</xdr:colOff>
          <xdr:row>9</xdr:row>
          <xdr:rowOff>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8</xdr:row>
          <xdr:rowOff>292100</xdr:rowOff>
        </xdr:from>
        <xdr:to>
          <xdr:col>3</xdr:col>
          <xdr:colOff>609600</xdr:colOff>
          <xdr:row>9</xdr:row>
          <xdr:rowOff>254000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9</xdr:row>
          <xdr:rowOff>292100</xdr:rowOff>
        </xdr:from>
        <xdr:to>
          <xdr:col>3</xdr:col>
          <xdr:colOff>609600</xdr:colOff>
          <xdr:row>10</xdr:row>
          <xdr:rowOff>254000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10</xdr:row>
          <xdr:rowOff>292100</xdr:rowOff>
        </xdr:from>
        <xdr:to>
          <xdr:col>3</xdr:col>
          <xdr:colOff>609600</xdr:colOff>
          <xdr:row>11</xdr:row>
          <xdr:rowOff>254000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10</xdr:row>
          <xdr:rowOff>292100</xdr:rowOff>
        </xdr:from>
        <xdr:to>
          <xdr:col>3</xdr:col>
          <xdr:colOff>609600</xdr:colOff>
          <xdr:row>11</xdr:row>
          <xdr:rowOff>254000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11</xdr:row>
          <xdr:rowOff>292100</xdr:rowOff>
        </xdr:from>
        <xdr:to>
          <xdr:col>3</xdr:col>
          <xdr:colOff>609600</xdr:colOff>
          <xdr:row>12</xdr:row>
          <xdr:rowOff>254000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12</xdr:row>
          <xdr:rowOff>292100</xdr:rowOff>
        </xdr:from>
        <xdr:to>
          <xdr:col>3</xdr:col>
          <xdr:colOff>609600</xdr:colOff>
          <xdr:row>13</xdr:row>
          <xdr:rowOff>254000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13</xdr:row>
          <xdr:rowOff>292100</xdr:rowOff>
        </xdr:from>
        <xdr:to>
          <xdr:col>3</xdr:col>
          <xdr:colOff>609600</xdr:colOff>
          <xdr:row>14</xdr:row>
          <xdr:rowOff>254000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13</xdr:row>
          <xdr:rowOff>292100</xdr:rowOff>
        </xdr:from>
        <xdr:to>
          <xdr:col>3</xdr:col>
          <xdr:colOff>609600</xdr:colOff>
          <xdr:row>14</xdr:row>
          <xdr:rowOff>254000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14</xdr:row>
          <xdr:rowOff>292100</xdr:rowOff>
        </xdr:from>
        <xdr:to>
          <xdr:col>3</xdr:col>
          <xdr:colOff>609600</xdr:colOff>
          <xdr:row>15</xdr:row>
          <xdr:rowOff>254000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15</xdr:row>
          <xdr:rowOff>292100</xdr:rowOff>
        </xdr:from>
        <xdr:to>
          <xdr:col>3</xdr:col>
          <xdr:colOff>609600</xdr:colOff>
          <xdr:row>16</xdr:row>
          <xdr:rowOff>254000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16</xdr:row>
          <xdr:rowOff>292100</xdr:rowOff>
        </xdr:from>
        <xdr:to>
          <xdr:col>3</xdr:col>
          <xdr:colOff>609600</xdr:colOff>
          <xdr:row>17</xdr:row>
          <xdr:rowOff>254000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16</xdr:row>
          <xdr:rowOff>292100</xdr:rowOff>
        </xdr:from>
        <xdr:to>
          <xdr:col>3</xdr:col>
          <xdr:colOff>609600</xdr:colOff>
          <xdr:row>17</xdr:row>
          <xdr:rowOff>254000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17</xdr:row>
          <xdr:rowOff>292100</xdr:rowOff>
        </xdr:from>
        <xdr:to>
          <xdr:col>3</xdr:col>
          <xdr:colOff>609600</xdr:colOff>
          <xdr:row>18</xdr:row>
          <xdr:rowOff>254000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17</xdr:row>
          <xdr:rowOff>292100</xdr:rowOff>
        </xdr:from>
        <xdr:to>
          <xdr:col>3</xdr:col>
          <xdr:colOff>609600</xdr:colOff>
          <xdr:row>18</xdr:row>
          <xdr:rowOff>254000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37</xdr:col>
      <xdr:colOff>371951</xdr:colOff>
      <xdr:row>13</xdr:row>
      <xdr:rowOff>91916</xdr:rowOff>
    </xdr:from>
    <xdr:to>
      <xdr:col>39</xdr:col>
      <xdr:colOff>468153</xdr:colOff>
      <xdr:row>18</xdr:row>
      <xdr:rowOff>210978</xdr:rowOff>
    </xdr:to>
    <xdr:grpSp>
      <xdr:nvGrpSpPr>
        <xdr:cNvPr id="12" name="Group 11">
          <a:extLst>
            <a:ext uri="{FF2B5EF4-FFF2-40B4-BE49-F238E27FC236}">
              <a16:creationId xmlns:a16="http://schemas.microsoft.com/office/drawing/2014/main" id="{0FBDE7D3-1933-D84D-31D9-3D2BDDBC9F53}"/>
            </a:ext>
          </a:extLst>
        </xdr:cNvPr>
        <xdr:cNvGrpSpPr/>
      </xdr:nvGrpSpPr>
      <xdr:grpSpPr>
        <a:xfrm>
          <a:off x="33899951" y="3679666"/>
          <a:ext cx="1429702" cy="1547812"/>
          <a:chOff x="9591675" y="2286000"/>
          <a:chExt cx="1155287" cy="1213308"/>
        </a:xfrm>
      </xdr:grpSpPr>
      <xdr:pic>
        <xdr:nvPicPr>
          <xdr:cNvPr id="10" name="Picture 3">
            <a:extLst>
              <a:ext uri="{FF2B5EF4-FFF2-40B4-BE49-F238E27FC236}">
                <a16:creationId xmlns:a16="http://schemas.microsoft.com/office/drawing/2014/main" id="{EA12E256-A761-4E35-BA93-28703E48172A}"/>
              </a:ext>
              <a:ext uri="{147F2762-F138-4A5C-976F-8EAC2B608ADB}">
                <a16:predDERef xmlns:a16="http://schemas.microsoft.com/office/drawing/2014/main" pred="{1758D913-F2CC-499C-9C43-65162E4EF15C}"/>
              </a:ext>
            </a:extLst>
          </xdr:cNvPr>
          <xdr:cNvPicPr>
            <a:picLocks noChangeAspect="1"/>
          </xdr:cNvPicPr>
        </xdr:nvPicPr>
        <xdr:blipFill>
          <a:blip xmlns:r="http://schemas.openxmlformats.org/officeDocument/2006/relationships" r:embed="rId1"/>
          <a:stretch>
            <a:fillRect/>
          </a:stretch>
        </xdr:blipFill>
        <xdr:spPr>
          <a:xfrm>
            <a:off x="9591675" y="2286000"/>
            <a:ext cx="1155287" cy="1213308"/>
          </a:xfrm>
          <a:prstGeom prst="rect">
            <a:avLst/>
          </a:prstGeom>
        </xdr:spPr>
      </xdr:pic>
      <xdr:sp macro="" textlink="">
        <xdr:nvSpPr>
          <xdr:cNvPr id="11" name="TextBox 10">
            <a:extLst>
              <a:ext uri="{FF2B5EF4-FFF2-40B4-BE49-F238E27FC236}">
                <a16:creationId xmlns:a16="http://schemas.microsoft.com/office/drawing/2014/main" id="{705A15D8-7EE9-6832-2656-4D8C45DE8D50}"/>
              </a:ext>
            </a:extLst>
          </xdr:cNvPr>
          <xdr:cNvSpPr txBox="1"/>
        </xdr:nvSpPr>
        <xdr:spPr>
          <a:xfrm>
            <a:off x="9639301" y="2933701"/>
            <a:ext cx="1057274" cy="514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Under construction</a:t>
            </a:r>
          </a:p>
        </xdr:txBody>
      </xdr:sp>
    </xdr:grpSp>
    <xdr:clientData/>
  </xdr:twoCellAnchor>
  <xdr:twoCellAnchor>
    <xdr:from>
      <xdr:col>1</xdr:col>
      <xdr:colOff>294906</xdr:colOff>
      <xdr:row>7</xdr:row>
      <xdr:rowOff>19050</xdr:rowOff>
    </xdr:from>
    <xdr:to>
      <xdr:col>1</xdr:col>
      <xdr:colOff>1101479</xdr:colOff>
      <xdr:row>8</xdr:row>
      <xdr:rowOff>254486</xdr:rowOff>
    </xdr:to>
    <xdr:pic>
      <xdr:nvPicPr>
        <xdr:cNvPr id="13" name="Picture 12">
          <a:extLst>
            <a:ext uri="{FF2B5EF4-FFF2-40B4-BE49-F238E27FC236}">
              <a16:creationId xmlns:a16="http://schemas.microsoft.com/office/drawing/2014/main" id="{6173937C-5A99-45FB-B964-FE166F49F026}"/>
            </a:ext>
          </a:extLst>
        </xdr:cNvPr>
        <xdr:cNvPicPr>
          <a:picLocks noChangeAspect="1"/>
        </xdr:cNvPicPr>
      </xdr:nvPicPr>
      <xdr:blipFill>
        <a:blip xmlns:r="http://schemas.openxmlformats.org/officeDocument/2006/relationships" r:embed="rId2"/>
        <a:stretch>
          <a:fillRect/>
        </a:stretch>
      </xdr:blipFill>
      <xdr:spPr>
        <a:xfrm>
          <a:off x="1542681" y="1143000"/>
          <a:ext cx="806573" cy="568811"/>
        </a:xfrm>
        <a:prstGeom prst="rect">
          <a:avLst/>
        </a:prstGeom>
      </xdr:spPr>
    </xdr:pic>
    <xdr:clientData/>
  </xdr:twoCellAnchor>
  <xdr:twoCellAnchor>
    <xdr:from>
      <xdr:col>1</xdr:col>
      <xdr:colOff>348806</xdr:colOff>
      <xdr:row>14</xdr:row>
      <xdr:rowOff>199703</xdr:rowOff>
    </xdr:from>
    <xdr:to>
      <xdr:col>1</xdr:col>
      <xdr:colOff>993574</xdr:colOff>
      <xdr:row>16</xdr:row>
      <xdr:rowOff>183216</xdr:rowOff>
    </xdr:to>
    <xdr:pic>
      <xdr:nvPicPr>
        <xdr:cNvPr id="14" name="Picture 13">
          <a:extLst>
            <a:ext uri="{FF2B5EF4-FFF2-40B4-BE49-F238E27FC236}">
              <a16:creationId xmlns:a16="http://schemas.microsoft.com/office/drawing/2014/main" id="{9B88CCEE-3C5D-4F06-ADE5-8572B355DA7B}"/>
            </a:ext>
          </a:extLst>
        </xdr:cNvPr>
        <xdr:cNvPicPr>
          <a:picLocks noChangeAspect="1"/>
        </xdr:cNvPicPr>
      </xdr:nvPicPr>
      <xdr:blipFill>
        <a:blip xmlns:r="http://schemas.openxmlformats.org/officeDocument/2006/relationships" r:embed="rId3"/>
        <a:stretch>
          <a:fillRect/>
        </a:stretch>
      </xdr:blipFill>
      <xdr:spPr>
        <a:xfrm>
          <a:off x="1596581" y="3257228"/>
          <a:ext cx="644768" cy="516913"/>
        </a:xfrm>
        <a:prstGeom prst="rect">
          <a:avLst/>
        </a:prstGeom>
      </xdr:spPr>
    </xdr:pic>
    <xdr:clientData/>
  </xdr:twoCellAnchor>
  <xdr:twoCellAnchor>
    <xdr:from>
      <xdr:col>1</xdr:col>
      <xdr:colOff>285750</xdr:colOff>
      <xdr:row>22</xdr:row>
      <xdr:rowOff>201612</xdr:rowOff>
    </xdr:from>
    <xdr:to>
      <xdr:col>1</xdr:col>
      <xdr:colOff>1064846</xdr:colOff>
      <xdr:row>25</xdr:row>
      <xdr:rowOff>51299</xdr:rowOff>
    </xdr:to>
    <xdr:pic>
      <xdr:nvPicPr>
        <xdr:cNvPr id="15" name="Picture 14">
          <a:extLst>
            <a:ext uri="{FF2B5EF4-FFF2-40B4-BE49-F238E27FC236}">
              <a16:creationId xmlns:a16="http://schemas.microsoft.com/office/drawing/2014/main" id="{3A13DA11-DED4-4FEF-91E9-F1BC095DE28F}"/>
            </a:ext>
          </a:extLst>
        </xdr:cNvPr>
        <xdr:cNvPicPr>
          <a:picLocks noChangeAspect="1"/>
        </xdr:cNvPicPr>
      </xdr:nvPicPr>
      <xdr:blipFill>
        <a:blip xmlns:r="http://schemas.openxmlformats.org/officeDocument/2006/relationships" r:embed="rId4"/>
        <a:stretch>
          <a:fillRect/>
        </a:stretch>
      </xdr:blipFill>
      <xdr:spPr>
        <a:xfrm>
          <a:off x="1533525" y="5307012"/>
          <a:ext cx="779096" cy="564062"/>
        </a:xfrm>
        <a:prstGeom prst="rect">
          <a:avLst/>
        </a:prstGeom>
      </xdr:spPr>
    </xdr:pic>
    <xdr:clientData/>
  </xdr:twoCellAnchor>
  <xdr:twoCellAnchor editAs="oneCell">
    <xdr:from>
      <xdr:col>13</xdr:col>
      <xdr:colOff>222250</xdr:colOff>
      <xdr:row>4</xdr:row>
      <xdr:rowOff>190499</xdr:rowOff>
    </xdr:from>
    <xdr:to>
      <xdr:col>13</xdr:col>
      <xdr:colOff>936624</xdr:colOff>
      <xdr:row>7</xdr:row>
      <xdr:rowOff>172963</xdr:rowOff>
    </xdr:to>
    <xdr:pic>
      <xdr:nvPicPr>
        <xdr:cNvPr id="2" name="Graphic 1" descr="House with solid fill">
          <a:hlinkClick xmlns:r="http://schemas.openxmlformats.org/officeDocument/2006/relationships" r:id="rId5"/>
          <a:extLst>
            <a:ext uri="{FF2B5EF4-FFF2-40B4-BE49-F238E27FC236}">
              <a16:creationId xmlns:a16="http://schemas.microsoft.com/office/drawing/2014/main" id="{BFCE5F17-EBFD-4CDE-884E-AC680F718C0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4425083" y="836082"/>
          <a:ext cx="714374" cy="715678"/>
        </a:xfrm>
        <a:prstGeom prst="rect">
          <a:avLst/>
        </a:prstGeom>
      </xdr:spPr>
    </xdr:pic>
    <xdr:clientData/>
  </xdr:twoCellAnchor>
  <xdr:twoCellAnchor editAs="oneCell">
    <xdr:from>
      <xdr:col>13</xdr:col>
      <xdr:colOff>577850</xdr:colOff>
      <xdr:row>1</xdr:row>
      <xdr:rowOff>28575</xdr:rowOff>
    </xdr:from>
    <xdr:to>
      <xdr:col>14</xdr:col>
      <xdr:colOff>170331</xdr:colOff>
      <xdr:row>4</xdr:row>
      <xdr:rowOff>8075</xdr:rowOff>
    </xdr:to>
    <xdr:pic>
      <xdr:nvPicPr>
        <xdr:cNvPr id="6" name="Picture 5">
          <a:extLst>
            <a:ext uri="{FF2B5EF4-FFF2-40B4-BE49-F238E27FC236}">
              <a16:creationId xmlns:a16="http://schemas.microsoft.com/office/drawing/2014/main" id="{A698712E-B4A8-4257-8532-49F9F13AD46D}"/>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4780683" y="102658"/>
          <a:ext cx="584352" cy="547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13921</xdr:colOff>
      <xdr:row>1</xdr:row>
      <xdr:rowOff>13921</xdr:rowOff>
    </xdr:from>
    <xdr:to>
      <xdr:col>11</xdr:col>
      <xdr:colOff>4397</xdr:colOff>
      <xdr:row>26</xdr:row>
      <xdr:rowOff>51289</xdr:rowOff>
    </xdr:to>
    <xdr:sp macro="" textlink="">
      <xdr:nvSpPr>
        <xdr:cNvPr id="4" name="Rectangle 3">
          <a:extLst>
            <a:ext uri="{FF2B5EF4-FFF2-40B4-BE49-F238E27FC236}">
              <a16:creationId xmlns:a16="http://schemas.microsoft.com/office/drawing/2014/main" id="{9AB5C464-AD4A-49E4-AC0B-F0D0E91EE96D}"/>
            </a:ext>
          </a:extLst>
        </xdr:cNvPr>
        <xdr:cNvSpPr/>
      </xdr:nvSpPr>
      <xdr:spPr>
        <a:xfrm>
          <a:off x="13921" y="13921"/>
          <a:ext cx="9344026" cy="567616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215900</xdr:colOff>
          <xdr:row>7</xdr:row>
          <xdr:rowOff>0</xdr:rowOff>
        </xdr:from>
        <xdr:to>
          <xdr:col>3</xdr:col>
          <xdr:colOff>609600</xdr:colOff>
          <xdr:row>8</xdr:row>
          <xdr:rowOff>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7</xdr:row>
          <xdr:rowOff>292100</xdr:rowOff>
        </xdr:from>
        <xdr:to>
          <xdr:col>3</xdr:col>
          <xdr:colOff>609600</xdr:colOff>
          <xdr:row>8</xdr:row>
          <xdr:rowOff>254000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8</xdr:row>
          <xdr:rowOff>292100</xdr:rowOff>
        </xdr:from>
        <xdr:to>
          <xdr:col>3</xdr:col>
          <xdr:colOff>609600</xdr:colOff>
          <xdr:row>9</xdr:row>
          <xdr:rowOff>254000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9</xdr:row>
          <xdr:rowOff>292100</xdr:rowOff>
        </xdr:from>
        <xdr:to>
          <xdr:col>3</xdr:col>
          <xdr:colOff>609600</xdr:colOff>
          <xdr:row>10</xdr:row>
          <xdr:rowOff>254000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9</xdr:row>
          <xdr:rowOff>292100</xdr:rowOff>
        </xdr:from>
        <xdr:to>
          <xdr:col>3</xdr:col>
          <xdr:colOff>609600</xdr:colOff>
          <xdr:row>10</xdr:row>
          <xdr:rowOff>254000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10</xdr:row>
          <xdr:rowOff>292100</xdr:rowOff>
        </xdr:from>
        <xdr:to>
          <xdr:col>3</xdr:col>
          <xdr:colOff>609600</xdr:colOff>
          <xdr:row>11</xdr:row>
          <xdr:rowOff>254000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10</xdr:row>
          <xdr:rowOff>292100</xdr:rowOff>
        </xdr:from>
        <xdr:to>
          <xdr:col>3</xdr:col>
          <xdr:colOff>609600</xdr:colOff>
          <xdr:row>11</xdr:row>
          <xdr:rowOff>254000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11</xdr:row>
          <xdr:rowOff>292100</xdr:rowOff>
        </xdr:from>
        <xdr:to>
          <xdr:col>3</xdr:col>
          <xdr:colOff>609600</xdr:colOff>
          <xdr:row>12</xdr:row>
          <xdr:rowOff>254000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11</xdr:row>
          <xdr:rowOff>292100</xdr:rowOff>
        </xdr:from>
        <xdr:to>
          <xdr:col>3</xdr:col>
          <xdr:colOff>609600</xdr:colOff>
          <xdr:row>12</xdr:row>
          <xdr:rowOff>254000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12</xdr:row>
          <xdr:rowOff>292100</xdr:rowOff>
        </xdr:from>
        <xdr:to>
          <xdr:col>3</xdr:col>
          <xdr:colOff>609600</xdr:colOff>
          <xdr:row>13</xdr:row>
          <xdr:rowOff>254000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12</xdr:row>
          <xdr:rowOff>292100</xdr:rowOff>
        </xdr:from>
        <xdr:to>
          <xdr:col>3</xdr:col>
          <xdr:colOff>609600</xdr:colOff>
          <xdr:row>13</xdr:row>
          <xdr:rowOff>254000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13</xdr:row>
          <xdr:rowOff>292100</xdr:rowOff>
        </xdr:from>
        <xdr:to>
          <xdr:col>3</xdr:col>
          <xdr:colOff>609600</xdr:colOff>
          <xdr:row>14</xdr:row>
          <xdr:rowOff>254000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13</xdr:row>
          <xdr:rowOff>292100</xdr:rowOff>
        </xdr:from>
        <xdr:to>
          <xdr:col>3</xdr:col>
          <xdr:colOff>609600</xdr:colOff>
          <xdr:row>14</xdr:row>
          <xdr:rowOff>254000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14</xdr:row>
          <xdr:rowOff>292100</xdr:rowOff>
        </xdr:from>
        <xdr:to>
          <xdr:col>3</xdr:col>
          <xdr:colOff>609600</xdr:colOff>
          <xdr:row>15</xdr:row>
          <xdr:rowOff>254000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14</xdr:row>
          <xdr:rowOff>292100</xdr:rowOff>
        </xdr:from>
        <xdr:to>
          <xdr:col>3</xdr:col>
          <xdr:colOff>609600</xdr:colOff>
          <xdr:row>15</xdr:row>
          <xdr:rowOff>254000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15</xdr:row>
          <xdr:rowOff>292100</xdr:rowOff>
        </xdr:from>
        <xdr:to>
          <xdr:col>3</xdr:col>
          <xdr:colOff>609600</xdr:colOff>
          <xdr:row>16</xdr:row>
          <xdr:rowOff>254000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15</xdr:row>
          <xdr:rowOff>292100</xdr:rowOff>
        </xdr:from>
        <xdr:to>
          <xdr:col>3</xdr:col>
          <xdr:colOff>609600</xdr:colOff>
          <xdr:row>16</xdr:row>
          <xdr:rowOff>254000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16</xdr:row>
          <xdr:rowOff>292100</xdr:rowOff>
        </xdr:from>
        <xdr:to>
          <xdr:col>3</xdr:col>
          <xdr:colOff>609600</xdr:colOff>
          <xdr:row>17</xdr:row>
          <xdr:rowOff>254000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16</xdr:row>
          <xdr:rowOff>292100</xdr:rowOff>
        </xdr:from>
        <xdr:to>
          <xdr:col>3</xdr:col>
          <xdr:colOff>609600</xdr:colOff>
          <xdr:row>17</xdr:row>
          <xdr:rowOff>254000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17</xdr:row>
          <xdr:rowOff>292100</xdr:rowOff>
        </xdr:from>
        <xdr:to>
          <xdr:col>3</xdr:col>
          <xdr:colOff>609600</xdr:colOff>
          <xdr:row>18</xdr:row>
          <xdr:rowOff>254000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500-00001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17</xdr:row>
          <xdr:rowOff>292100</xdr:rowOff>
        </xdr:from>
        <xdr:to>
          <xdr:col>3</xdr:col>
          <xdr:colOff>609600</xdr:colOff>
          <xdr:row>18</xdr:row>
          <xdr:rowOff>254000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18</xdr:row>
          <xdr:rowOff>292100</xdr:rowOff>
        </xdr:from>
        <xdr:to>
          <xdr:col>3</xdr:col>
          <xdr:colOff>609600</xdr:colOff>
          <xdr:row>19</xdr:row>
          <xdr:rowOff>254000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18</xdr:row>
          <xdr:rowOff>292100</xdr:rowOff>
        </xdr:from>
        <xdr:to>
          <xdr:col>3</xdr:col>
          <xdr:colOff>609600</xdr:colOff>
          <xdr:row>19</xdr:row>
          <xdr:rowOff>254000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500-00001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19</xdr:row>
          <xdr:rowOff>292100</xdr:rowOff>
        </xdr:from>
        <xdr:to>
          <xdr:col>3</xdr:col>
          <xdr:colOff>609600</xdr:colOff>
          <xdr:row>20</xdr:row>
          <xdr:rowOff>254000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500-00001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19</xdr:row>
          <xdr:rowOff>292100</xdr:rowOff>
        </xdr:from>
        <xdr:to>
          <xdr:col>3</xdr:col>
          <xdr:colOff>609600</xdr:colOff>
          <xdr:row>20</xdr:row>
          <xdr:rowOff>254000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500-00001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20</xdr:row>
          <xdr:rowOff>292100</xdr:rowOff>
        </xdr:from>
        <xdr:to>
          <xdr:col>3</xdr:col>
          <xdr:colOff>609600</xdr:colOff>
          <xdr:row>21</xdr:row>
          <xdr:rowOff>254000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500-00001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20</xdr:row>
          <xdr:rowOff>292100</xdr:rowOff>
        </xdr:from>
        <xdr:to>
          <xdr:col>3</xdr:col>
          <xdr:colOff>609600</xdr:colOff>
          <xdr:row>21</xdr:row>
          <xdr:rowOff>254000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500-00001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21</xdr:row>
          <xdr:rowOff>292100</xdr:rowOff>
        </xdr:from>
        <xdr:to>
          <xdr:col>3</xdr:col>
          <xdr:colOff>609600</xdr:colOff>
          <xdr:row>22</xdr:row>
          <xdr:rowOff>254000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500-00001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21</xdr:row>
          <xdr:rowOff>292100</xdr:rowOff>
        </xdr:from>
        <xdr:to>
          <xdr:col>3</xdr:col>
          <xdr:colOff>609600</xdr:colOff>
          <xdr:row>22</xdr:row>
          <xdr:rowOff>254000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500-00001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22</xdr:row>
          <xdr:rowOff>292100</xdr:rowOff>
        </xdr:from>
        <xdr:to>
          <xdr:col>3</xdr:col>
          <xdr:colOff>609600</xdr:colOff>
          <xdr:row>23</xdr:row>
          <xdr:rowOff>254000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500-00001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22</xdr:row>
          <xdr:rowOff>292100</xdr:rowOff>
        </xdr:from>
        <xdr:to>
          <xdr:col>3</xdr:col>
          <xdr:colOff>609600</xdr:colOff>
          <xdr:row>23</xdr:row>
          <xdr:rowOff>254000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500-00001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285381</xdr:colOff>
      <xdr:row>6</xdr:row>
      <xdr:rowOff>0</xdr:rowOff>
    </xdr:from>
    <xdr:to>
      <xdr:col>1</xdr:col>
      <xdr:colOff>1091954</xdr:colOff>
      <xdr:row>7</xdr:row>
      <xdr:rowOff>235436</xdr:rowOff>
    </xdr:to>
    <xdr:pic>
      <xdr:nvPicPr>
        <xdr:cNvPr id="7" name="Picture 6">
          <a:extLst>
            <a:ext uri="{FF2B5EF4-FFF2-40B4-BE49-F238E27FC236}">
              <a16:creationId xmlns:a16="http://schemas.microsoft.com/office/drawing/2014/main" id="{13A088EE-6741-4060-A721-D453EDF7A1CA}"/>
            </a:ext>
          </a:extLst>
        </xdr:cNvPr>
        <xdr:cNvPicPr>
          <a:picLocks noChangeAspect="1"/>
        </xdr:cNvPicPr>
      </xdr:nvPicPr>
      <xdr:blipFill>
        <a:blip xmlns:r="http://schemas.openxmlformats.org/officeDocument/2006/relationships" r:embed="rId1"/>
        <a:stretch>
          <a:fillRect/>
        </a:stretch>
      </xdr:blipFill>
      <xdr:spPr>
        <a:xfrm>
          <a:off x="2199906" y="1123950"/>
          <a:ext cx="806573" cy="568811"/>
        </a:xfrm>
        <a:prstGeom prst="rect">
          <a:avLst/>
        </a:prstGeom>
      </xdr:spPr>
    </xdr:pic>
    <xdr:clientData/>
  </xdr:twoCellAnchor>
  <xdr:twoCellAnchor>
    <xdr:from>
      <xdr:col>1</xdr:col>
      <xdr:colOff>339281</xdr:colOff>
      <xdr:row>13</xdr:row>
      <xdr:rowOff>180653</xdr:rowOff>
    </xdr:from>
    <xdr:to>
      <xdr:col>1</xdr:col>
      <xdr:colOff>984049</xdr:colOff>
      <xdr:row>15</xdr:row>
      <xdr:rowOff>164166</xdr:rowOff>
    </xdr:to>
    <xdr:pic>
      <xdr:nvPicPr>
        <xdr:cNvPr id="9" name="Picture 8">
          <a:extLst>
            <a:ext uri="{FF2B5EF4-FFF2-40B4-BE49-F238E27FC236}">
              <a16:creationId xmlns:a16="http://schemas.microsoft.com/office/drawing/2014/main" id="{05F4142B-3A2B-41C0-8AFA-F6C3D2E32E42}"/>
            </a:ext>
          </a:extLst>
        </xdr:cNvPr>
        <xdr:cNvPicPr>
          <a:picLocks noChangeAspect="1"/>
        </xdr:cNvPicPr>
      </xdr:nvPicPr>
      <xdr:blipFill>
        <a:blip xmlns:r="http://schemas.openxmlformats.org/officeDocument/2006/relationships" r:embed="rId2"/>
        <a:stretch>
          <a:fillRect/>
        </a:stretch>
      </xdr:blipFill>
      <xdr:spPr>
        <a:xfrm>
          <a:off x="2253806" y="3238178"/>
          <a:ext cx="644768" cy="516913"/>
        </a:xfrm>
        <a:prstGeom prst="rect">
          <a:avLst/>
        </a:prstGeom>
      </xdr:spPr>
    </xdr:pic>
    <xdr:clientData/>
  </xdr:twoCellAnchor>
  <xdr:twoCellAnchor>
    <xdr:from>
      <xdr:col>1</xdr:col>
      <xdr:colOff>276225</xdr:colOff>
      <xdr:row>21</xdr:row>
      <xdr:rowOff>96837</xdr:rowOff>
    </xdr:from>
    <xdr:to>
      <xdr:col>1</xdr:col>
      <xdr:colOff>1055321</xdr:colOff>
      <xdr:row>23</xdr:row>
      <xdr:rowOff>127499</xdr:rowOff>
    </xdr:to>
    <xdr:pic>
      <xdr:nvPicPr>
        <xdr:cNvPr id="10" name="Picture 9">
          <a:extLst>
            <a:ext uri="{FF2B5EF4-FFF2-40B4-BE49-F238E27FC236}">
              <a16:creationId xmlns:a16="http://schemas.microsoft.com/office/drawing/2014/main" id="{528EAFEA-2D57-4437-B143-5D6DC2FA299E}"/>
            </a:ext>
          </a:extLst>
        </xdr:cNvPr>
        <xdr:cNvPicPr>
          <a:picLocks noChangeAspect="1"/>
        </xdr:cNvPicPr>
      </xdr:nvPicPr>
      <xdr:blipFill>
        <a:blip xmlns:r="http://schemas.openxmlformats.org/officeDocument/2006/relationships" r:embed="rId3"/>
        <a:stretch>
          <a:fillRect/>
        </a:stretch>
      </xdr:blipFill>
      <xdr:spPr>
        <a:xfrm>
          <a:off x="2190750" y="5287962"/>
          <a:ext cx="779096" cy="564062"/>
        </a:xfrm>
        <a:prstGeom prst="rect">
          <a:avLst/>
        </a:prstGeom>
      </xdr:spPr>
    </xdr:pic>
    <xdr:clientData/>
  </xdr:twoCellAnchor>
  <xdr:twoCellAnchor editAs="oneCell">
    <xdr:from>
      <xdr:col>9</xdr:col>
      <xdr:colOff>1809103</xdr:colOff>
      <xdr:row>1</xdr:row>
      <xdr:rowOff>28575</xdr:rowOff>
    </xdr:from>
    <xdr:to>
      <xdr:col>10</xdr:col>
      <xdr:colOff>165252</xdr:colOff>
      <xdr:row>4</xdr:row>
      <xdr:rowOff>13791</xdr:rowOff>
    </xdr:to>
    <xdr:pic>
      <xdr:nvPicPr>
        <xdr:cNvPr id="6" name="Picture 5">
          <a:extLst>
            <a:ext uri="{FF2B5EF4-FFF2-40B4-BE49-F238E27FC236}">
              <a16:creationId xmlns:a16="http://schemas.microsoft.com/office/drawing/2014/main" id="{EFF0A067-F638-4869-8C92-DD9197F5A3F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238978" y="104775"/>
          <a:ext cx="594524" cy="5567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409575</xdr:colOff>
      <xdr:row>6</xdr:row>
      <xdr:rowOff>190500</xdr:rowOff>
    </xdr:from>
    <xdr:to>
      <xdr:col>9</xdr:col>
      <xdr:colOff>1857375</xdr:colOff>
      <xdr:row>22</xdr:row>
      <xdr:rowOff>42372</xdr:rowOff>
    </xdr:to>
    <xdr:pic>
      <xdr:nvPicPr>
        <xdr:cNvPr id="11" name="Picture 10">
          <a:extLst>
            <a:ext uri="{FF2B5EF4-FFF2-40B4-BE49-F238E27FC236}">
              <a16:creationId xmlns:a16="http://schemas.microsoft.com/office/drawing/2014/main" id="{FE3FF34C-98D8-4603-83FD-8C2DFA7CC81D}"/>
            </a:ext>
            <a:ext uri="{147F2762-F138-4A5C-976F-8EAC2B608ADB}">
              <a16:predDERef xmlns:a16="http://schemas.microsoft.com/office/drawing/2014/main" pred="{1758D913-F2CC-499C-9C43-65162E4EF15C}"/>
            </a:ext>
          </a:extLst>
        </xdr:cNvPr>
        <xdr:cNvPicPr>
          <a:picLocks noChangeAspect="1"/>
        </xdr:cNvPicPr>
      </xdr:nvPicPr>
      <xdr:blipFill>
        <a:blip xmlns:r="http://schemas.openxmlformats.org/officeDocument/2006/relationships" r:embed="rId5"/>
        <a:stretch>
          <a:fillRect/>
        </a:stretch>
      </xdr:blipFill>
      <xdr:spPr>
        <a:xfrm>
          <a:off x="8696325" y="1390650"/>
          <a:ext cx="3686175" cy="4185747"/>
        </a:xfrm>
        <a:prstGeom prst="rect">
          <a:avLst/>
        </a:prstGeom>
      </xdr:spPr>
    </xdr:pic>
    <xdr:clientData/>
  </xdr:twoCellAnchor>
  <xdr:twoCellAnchor>
    <xdr:from>
      <xdr:col>8</xdr:col>
      <xdr:colOff>620713</xdr:colOff>
      <xdr:row>16</xdr:row>
      <xdr:rowOff>74613</xdr:rowOff>
    </xdr:from>
    <xdr:to>
      <xdr:col>9</xdr:col>
      <xdr:colOff>1639888</xdr:colOff>
      <xdr:row>21</xdr:row>
      <xdr:rowOff>122238</xdr:rowOff>
    </xdr:to>
    <xdr:sp macro="" textlink="">
      <xdr:nvSpPr>
        <xdr:cNvPr id="12" name="TextBox 11">
          <a:extLst>
            <a:ext uri="{FF2B5EF4-FFF2-40B4-BE49-F238E27FC236}">
              <a16:creationId xmlns:a16="http://schemas.microsoft.com/office/drawing/2014/main" id="{BB913833-5538-BA5A-0CB6-F1C9DD321385}"/>
            </a:ext>
          </a:extLst>
        </xdr:cNvPr>
        <xdr:cNvSpPr txBox="1"/>
      </xdr:nvSpPr>
      <xdr:spPr>
        <a:xfrm>
          <a:off x="9764713" y="4273551"/>
          <a:ext cx="3257550" cy="13970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4000"/>
            <a:t>Recorded on SAP</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898768</xdr:colOff>
      <xdr:row>13</xdr:row>
      <xdr:rowOff>0</xdr:rowOff>
    </xdr:from>
    <xdr:to>
      <xdr:col>22</xdr:col>
      <xdr:colOff>898768</xdr:colOff>
      <xdr:row>49</xdr:row>
      <xdr:rowOff>97692</xdr:rowOff>
    </xdr:to>
    <xdr:grpSp>
      <xdr:nvGrpSpPr>
        <xdr:cNvPr id="44" name="Group 43">
          <a:extLst>
            <a:ext uri="{FF2B5EF4-FFF2-40B4-BE49-F238E27FC236}">
              <a16:creationId xmlns:a16="http://schemas.microsoft.com/office/drawing/2014/main" id="{D06A5D55-3060-FAED-F44B-9B1B8F11AD06}"/>
            </a:ext>
          </a:extLst>
        </xdr:cNvPr>
        <xdr:cNvGrpSpPr/>
      </xdr:nvGrpSpPr>
      <xdr:grpSpPr>
        <a:xfrm>
          <a:off x="822568" y="3628571"/>
          <a:ext cx="19068143" cy="7917264"/>
          <a:chOff x="898768" y="3595077"/>
          <a:chExt cx="20359077" cy="7756769"/>
        </a:xfrm>
      </xdr:grpSpPr>
      <xdr:sp macro="" textlink="">
        <xdr:nvSpPr>
          <xdr:cNvPr id="34" name="Rounded Rectangle 33">
            <a:extLst>
              <a:ext uri="{FF2B5EF4-FFF2-40B4-BE49-F238E27FC236}">
                <a16:creationId xmlns:a16="http://schemas.microsoft.com/office/drawing/2014/main" id="{2C07A7CD-8C40-8E3C-FC86-0801ADC95BE8}"/>
              </a:ext>
            </a:extLst>
          </xdr:cNvPr>
          <xdr:cNvSpPr/>
        </xdr:nvSpPr>
        <xdr:spPr>
          <a:xfrm>
            <a:off x="898768" y="3595077"/>
            <a:ext cx="20359077" cy="7756769"/>
          </a:xfrm>
          <a:prstGeom prst="roundRect">
            <a:avLst/>
          </a:prstGeom>
          <a:solidFill>
            <a:schemeClr val="tx1"/>
          </a:solidFill>
          <a:ln w="57150">
            <a:solidFill>
              <a:srgbClr val="2BA2D3"/>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xmlns:a14="http://schemas.microsoft.com/office/drawing/2010/main">
        <mc:Choice Requires="a14">
          <xdr:graphicFrame macro="">
            <xdr:nvGraphicFramePr>
              <xdr:cNvPr id="17" name="Year">
                <a:extLst>
                  <a:ext uri="{FF2B5EF4-FFF2-40B4-BE49-F238E27FC236}">
                    <a16:creationId xmlns:a16="http://schemas.microsoft.com/office/drawing/2014/main" id="{D15165C8-642A-4635-2FF3-A4E84763EEC5}"/>
                  </a:ext>
                </a:extLst>
              </xdr:cNvPr>
              <xdr:cNvGraphicFramePr/>
            </xdr:nvGraphicFramePr>
            <xdr:xfrm>
              <a:off x="18559077" y="5275385"/>
              <a:ext cx="1800000" cy="216000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8910758" y="5232082"/>
                <a:ext cx="1835845" cy="21137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16" name="Chart 15">
            <a:extLst>
              <a:ext uri="{FF2B5EF4-FFF2-40B4-BE49-F238E27FC236}">
                <a16:creationId xmlns:a16="http://schemas.microsoft.com/office/drawing/2014/main" id="{13591F48-E9ED-28E8-130D-B7AB3F7427B2}"/>
              </a:ext>
            </a:extLst>
          </xdr:cNvPr>
          <xdr:cNvGraphicFramePr/>
        </xdr:nvGraphicFramePr>
        <xdr:xfrm>
          <a:off x="1797538" y="4650153"/>
          <a:ext cx="16568616" cy="5705231"/>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graphicFrame macro="">
            <xdr:nvGraphicFramePr>
              <xdr:cNvPr id="18" name="Month">
                <a:extLst>
                  <a:ext uri="{FF2B5EF4-FFF2-40B4-BE49-F238E27FC236}">
                    <a16:creationId xmlns:a16="http://schemas.microsoft.com/office/drawing/2014/main" id="{075E1673-048D-D495-DF06-038AA17E7E5A}"/>
                  </a:ext>
                </a:extLst>
              </xdr:cNvPr>
              <xdr:cNvGraphicFramePr/>
            </xdr:nvGraphicFramePr>
            <xdr:xfrm>
              <a:off x="18559077" y="7550615"/>
              <a:ext cx="1800000" cy="216000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8910758" y="7458598"/>
                <a:ext cx="1835845" cy="21137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xdr:col>
      <xdr:colOff>19539</xdr:colOff>
      <xdr:row>52</xdr:row>
      <xdr:rowOff>0</xdr:rowOff>
    </xdr:from>
    <xdr:to>
      <xdr:col>12</xdr:col>
      <xdr:colOff>17693</xdr:colOff>
      <xdr:row>89</xdr:row>
      <xdr:rowOff>0</xdr:rowOff>
    </xdr:to>
    <xdr:grpSp>
      <xdr:nvGrpSpPr>
        <xdr:cNvPr id="46" name="Group 45">
          <a:extLst>
            <a:ext uri="{FF2B5EF4-FFF2-40B4-BE49-F238E27FC236}">
              <a16:creationId xmlns:a16="http://schemas.microsoft.com/office/drawing/2014/main" id="{AFE4C169-9A8E-A7BE-6A37-188D16648197}"/>
            </a:ext>
          </a:extLst>
        </xdr:cNvPr>
        <xdr:cNvGrpSpPr/>
      </xdr:nvGrpSpPr>
      <xdr:grpSpPr>
        <a:xfrm>
          <a:off x="854110" y="12046857"/>
          <a:ext cx="9414297" cy="7384143"/>
          <a:chOff x="921239" y="11684000"/>
          <a:chExt cx="10107354" cy="7048500"/>
        </a:xfrm>
      </xdr:grpSpPr>
      <xdr:sp macro="" textlink="">
        <xdr:nvSpPr>
          <xdr:cNvPr id="36" name="Rounded Rectangle 35">
            <a:extLst>
              <a:ext uri="{FF2B5EF4-FFF2-40B4-BE49-F238E27FC236}">
                <a16:creationId xmlns:a16="http://schemas.microsoft.com/office/drawing/2014/main" id="{60CBF21E-E517-1C54-5AA5-736EAC7AD25C}"/>
              </a:ext>
            </a:extLst>
          </xdr:cNvPr>
          <xdr:cNvSpPr/>
        </xdr:nvSpPr>
        <xdr:spPr>
          <a:xfrm>
            <a:off x="921239" y="11684000"/>
            <a:ext cx="10107354" cy="7048500"/>
          </a:xfrm>
          <a:prstGeom prst="roundRect">
            <a:avLst/>
          </a:prstGeom>
          <a:solidFill>
            <a:schemeClr val="tx1"/>
          </a:solidFill>
          <a:ln w="57150">
            <a:solidFill>
              <a:srgbClr val="2BA2D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20" name="Chart 19">
            <a:extLst>
              <a:ext uri="{FF2B5EF4-FFF2-40B4-BE49-F238E27FC236}">
                <a16:creationId xmlns:a16="http://schemas.microsoft.com/office/drawing/2014/main" id="{B6110364-A16E-D8B7-25BA-7B7864C25BFE}"/>
              </a:ext>
            </a:extLst>
          </xdr:cNvPr>
          <xdr:cNvGraphicFramePr/>
        </xdr:nvGraphicFramePr>
        <xdr:xfrm>
          <a:off x="1444777" y="13857654"/>
          <a:ext cx="8844423" cy="4303346"/>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38" name="Year 1">
                <a:extLst>
                  <a:ext uri="{FF2B5EF4-FFF2-40B4-BE49-F238E27FC236}">
                    <a16:creationId xmlns:a16="http://schemas.microsoft.com/office/drawing/2014/main" id="{BA146DD6-0F0F-8624-BDE2-7E18E3A99653}"/>
                  </a:ext>
                </a:extLst>
              </xdr:cNvPr>
              <xdr:cNvGraphicFramePr/>
            </xdr:nvGraphicFramePr>
            <xdr:xfrm>
              <a:off x="1803400" y="12176132"/>
              <a:ext cx="1805861" cy="1405808"/>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809623" y="12144382"/>
                <a:ext cx="1812101" cy="14058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9" name="Quarter">
                <a:extLst>
                  <a:ext uri="{FF2B5EF4-FFF2-40B4-BE49-F238E27FC236}">
                    <a16:creationId xmlns:a16="http://schemas.microsoft.com/office/drawing/2014/main" id="{6771EB5A-FCCB-73F7-FE6D-1E0D828BDFD4}"/>
                  </a:ext>
                </a:extLst>
              </xdr:cNvPr>
              <xdr:cNvGraphicFramePr/>
            </xdr:nvGraphicFramePr>
            <xdr:xfrm>
              <a:off x="4974961" y="12188077"/>
              <a:ext cx="1800977" cy="1400923"/>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4992143" y="12156327"/>
                <a:ext cx="1807200" cy="140092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0" name="LogMonth">
                <a:extLst>
                  <a:ext uri="{FF2B5EF4-FFF2-40B4-BE49-F238E27FC236}">
                    <a16:creationId xmlns:a16="http://schemas.microsoft.com/office/drawing/2014/main" id="{3A9584EE-0FBA-30DD-BF59-B1266B9AD2A0}"/>
                  </a:ext>
                </a:extLst>
              </xdr:cNvPr>
              <xdr:cNvGraphicFramePr/>
            </xdr:nvGraphicFramePr>
            <xdr:xfrm>
              <a:off x="8300408" y="12255500"/>
              <a:ext cx="1808792" cy="1405808"/>
            </xdr:xfrm>
            <a:graphic>
              <a:graphicData uri="http://schemas.microsoft.com/office/drawing/2010/slicer">
                <sle:slicer xmlns:sle="http://schemas.microsoft.com/office/drawing/2010/slicer" name="LogMonth"/>
              </a:graphicData>
            </a:graphic>
          </xdr:graphicFrame>
        </mc:Choice>
        <mc:Fallback xmlns="">
          <xdr:sp macro="" textlink="">
            <xdr:nvSpPr>
              <xdr:cNvPr id="0" name=""/>
              <xdr:cNvSpPr>
                <a:spLocks noTextEdit="1"/>
              </xdr:cNvSpPr>
            </xdr:nvSpPr>
            <xdr:spPr>
              <a:xfrm>
                <a:off x="8329081" y="12223750"/>
                <a:ext cx="1815042" cy="14058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12</xdr:col>
      <xdr:colOff>197231</xdr:colOff>
      <xdr:row>51</xdr:row>
      <xdr:rowOff>104461</xdr:rowOff>
    </xdr:from>
    <xdr:to>
      <xdr:col>23</xdr:col>
      <xdr:colOff>0</xdr:colOff>
      <xdr:row>89</xdr:row>
      <xdr:rowOff>0</xdr:rowOff>
    </xdr:to>
    <xdr:grpSp>
      <xdr:nvGrpSpPr>
        <xdr:cNvPr id="47" name="Group 46">
          <a:extLst>
            <a:ext uri="{FF2B5EF4-FFF2-40B4-BE49-F238E27FC236}">
              <a16:creationId xmlns:a16="http://schemas.microsoft.com/office/drawing/2014/main" id="{E5640140-4A9D-3A8B-F962-D43F6AAE4673}"/>
            </a:ext>
          </a:extLst>
        </xdr:cNvPr>
        <xdr:cNvGrpSpPr/>
      </xdr:nvGrpSpPr>
      <xdr:grpSpPr>
        <a:xfrm>
          <a:off x="10447945" y="11951747"/>
          <a:ext cx="9454769" cy="7479253"/>
          <a:chOff x="11208131" y="11597961"/>
          <a:chExt cx="10407269" cy="7134539"/>
        </a:xfrm>
      </xdr:grpSpPr>
      <xdr:sp macro="" textlink="">
        <xdr:nvSpPr>
          <xdr:cNvPr id="37" name="Rounded Rectangle 36">
            <a:extLst>
              <a:ext uri="{FF2B5EF4-FFF2-40B4-BE49-F238E27FC236}">
                <a16:creationId xmlns:a16="http://schemas.microsoft.com/office/drawing/2014/main" id="{D461803C-37A5-7BBA-BCF2-57D5C5996BEC}"/>
              </a:ext>
            </a:extLst>
          </xdr:cNvPr>
          <xdr:cNvSpPr/>
        </xdr:nvSpPr>
        <xdr:spPr>
          <a:xfrm>
            <a:off x="11208131" y="11597961"/>
            <a:ext cx="10407269" cy="7134539"/>
          </a:xfrm>
          <a:prstGeom prst="roundRect">
            <a:avLst/>
          </a:prstGeom>
          <a:solidFill>
            <a:schemeClr val="tx1"/>
          </a:solidFill>
          <a:ln w="57150">
            <a:solidFill>
              <a:srgbClr val="2BA2D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25" name="Chart 24">
            <a:extLst>
              <a:ext uri="{FF2B5EF4-FFF2-40B4-BE49-F238E27FC236}">
                <a16:creationId xmlns:a16="http://schemas.microsoft.com/office/drawing/2014/main" id="{4B7B1B9C-C425-0AD0-2FFD-D7311FDDBC67}"/>
              </a:ext>
            </a:extLst>
          </xdr:cNvPr>
          <xdr:cNvGraphicFramePr/>
        </xdr:nvGraphicFramePr>
        <xdr:xfrm>
          <a:off x="12065000" y="13719924"/>
          <a:ext cx="9136184" cy="4355254"/>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graphicFrame macro="">
            <xdr:nvGraphicFramePr>
              <xdr:cNvPr id="41" name="Year 2">
                <a:extLst>
                  <a:ext uri="{FF2B5EF4-FFF2-40B4-BE49-F238E27FC236}">
                    <a16:creationId xmlns:a16="http://schemas.microsoft.com/office/drawing/2014/main" id="{81A7C8F0-9A64-6B0E-66A0-93E244C8825D}"/>
                  </a:ext>
                </a:extLst>
              </xdr:cNvPr>
              <xdr:cNvGraphicFramePr/>
            </xdr:nvGraphicFramePr>
            <xdr:xfrm>
              <a:off x="12433769" y="12070846"/>
              <a:ext cx="1800977" cy="1405808"/>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2473739" y="12039096"/>
                <a:ext cx="1803724" cy="14058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2" name="LogMonth 1">
                <a:extLst>
                  <a:ext uri="{FF2B5EF4-FFF2-40B4-BE49-F238E27FC236}">
                    <a16:creationId xmlns:a16="http://schemas.microsoft.com/office/drawing/2014/main" id="{980417A6-4BA3-F754-D107-84D6B1748C9D}"/>
                  </a:ext>
                </a:extLst>
              </xdr:cNvPr>
              <xdr:cNvGraphicFramePr/>
            </xdr:nvGraphicFramePr>
            <xdr:xfrm>
              <a:off x="18912723" y="12090385"/>
              <a:ext cx="1800977" cy="1405808"/>
            </xdr:xfrm>
            <a:graphic>
              <a:graphicData uri="http://schemas.microsoft.com/office/drawing/2010/slicer">
                <sle:slicer xmlns:sle="http://schemas.microsoft.com/office/drawing/2010/slicer" name="LogMonth 1"/>
              </a:graphicData>
            </a:graphic>
          </xdr:graphicFrame>
        </mc:Choice>
        <mc:Fallback xmlns="">
          <xdr:sp macro="" textlink="">
            <xdr:nvSpPr>
              <xdr:cNvPr id="0" name=""/>
              <xdr:cNvSpPr>
                <a:spLocks noTextEdit="1"/>
              </xdr:cNvSpPr>
            </xdr:nvSpPr>
            <xdr:spPr>
              <a:xfrm>
                <a:off x="18962575" y="12058635"/>
                <a:ext cx="1803724" cy="14058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3" name="Quarter 1">
                <a:extLst>
                  <a:ext uri="{FF2B5EF4-FFF2-40B4-BE49-F238E27FC236}">
                    <a16:creationId xmlns:a16="http://schemas.microsoft.com/office/drawing/2014/main" id="{C27FA3B1-EB1B-7B67-D788-C49F15AC0219}"/>
                  </a:ext>
                </a:extLst>
              </xdr:cNvPr>
              <xdr:cNvGraphicFramePr/>
            </xdr:nvGraphicFramePr>
            <xdr:xfrm>
              <a:off x="15563831" y="12050347"/>
              <a:ext cx="1805862" cy="1400923"/>
            </xdr:xfrm>
            <a:graphic>
              <a:graphicData uri="http://schemas.microsoft.com/office/drawing/2010/slicer">
                <sle:slicer xmlns:sle="http://schemas.microsoft.com/office/drawing/2010/slicer" name="Quarter 1"/>
              </a:graphicData>
            </a:graphic>
          </xdr:graphicFrame>
        </mc:Choice>
        <mc:Fallback xmlns="">
          <xdr:sp macro="" textlink="">
            <xdr:nvSpPr>
              <xdr:cNvPr id="0" name=""/>
              <xdr:cNvSpPr>
                <a:spLocks noTextEdit="1"/>
              </xdr:cNvSpPr>
            </xdr:nvSpPr>
            <xdr:spPr>
              <a:xfrm>
                <a:off x="15608575" y="12018597"/>
                <a:ext cx="1808617" cy="140092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22</xdr:col>
      <xdr:colOff>253519</xdr:colOff>
      <xdr:row>7</xdr:row>
      <xdr:rowOff>77451</xdr:rowOff>
    </xdr:from>
    <xdr:to>
      <xdr:col>26</xdr:col>
      <xdr:colOff>57727</xdr:colOff>
      <xdr:row>10</xdr:row>
      <xdr:rowOff>192425</xdr:rowOff>
    </xdr:to>
    <xdr:grpSp>
      <xdr:nvGrpSpPr>
        <xdr:cNvPr id="10" name="Group 9">
          <a:extLst>
            <a:ext uri="{FF2B5EF4-FFF2-40B4-BE49-F238E27FC236}">
              <a16:creationId xmlns:a16="http://schemas.microsoft.com/office/drawing/2014/main" id="{197316D4-0F3C-9D39-54C3-3E78EF3A4A65}"/>
            </a:ext>
          </a:extLst>
        </xdr:cNvPr>
        <xdr:cNvGrpSpPr/>
      </xdr:nvGrpSpPr>
      <xdr:grpSpPr>
        <a:xfrm>
          <a:off x="19321662" y="1456308"/>
          <a:ext cx="3142494" cy="1403117"/>
          <a:chOff x="21400943" y="1674572"/>
          <a:chExt cx="2729057" cy="1404216"/>
        </a:xfrm>
      </xdr:grpSpPr>
      <xdr:sp macro="[0]!RefreshDashboardData" textlink="">
        <xdr:nvSpPr>
          <xdr:cNvPr id="5" name="Rounded Rectangle 4">
            <a:extLst>
              <a:ext uri="{FF2B5EF4-FFF2-40B4-BE49-F238E27FC236}">
                <a16:creationId xmlns:a16="http://schemas.microsoft.com/office/drawing/2014/main" id="{95D6D9F1-E1FE-22B6-6DDD-0504A4707877}"/>
              </a:ext>
            </a:extLst>
          </xdr:cNvPr>
          <xdr:cNvSpPr/>
        </xdr:nvSpPr>
        <xdr:spPr>
          <a:xfrm>
            <a:off x="21400943" y="1674572"/>
            <a:ext cx="2729057" cy="1404216"/>
          </a:xfrm>
          <a:prstGeom prst="roundRect">
            <a:avLst/>
          </a:prstGeom>
          <a:solidFill>
            <a:srgbClr val="2BA2D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RefreshDashboardData" textlink="">
        <xdr:nvSpPr>
          <xdr:cNvPr id="6" name="TextBox 5">
            <a:extLst>
              <a:ext uri="{FF2B5EF4-FFF2-40B4-BE49-F238E27FC236}">
                <a16:creationId xmlns:a16="http://schemas.microsoft.com/office/drawing/2014/main" id="{369CDD8D-ACE9-3A9A-BE92-7AD87F785C47}"/>
              </a:ext>
            </a:extLst>
          </xdr:cNvPr>
          <xdr:cNvSpPr txBox="1"/>
        </xdr:nvSpPr>
        <xdr:spPr>
          <a:xfrm flipH="1">
            <a:off x="22447088" y="1883714"/>
            <a:ext cx="1471243" cy="1060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b="1"/>
              <a:t>Refresh Data</a:t>
            </a:r>
          </a:p>
        </xdr:txBody>
      </xdr:sp>
      <xdr:pic>
        <xdr:nvPicPr>
          <xdr:cNvPr id="9" name="Graphic 8" descr="Repeat with solid fill">
            <a:extLst>
              <a:ext uri="{FF2B5EF4-FFF2-40B4-BE49-F238E27FC236}">
                <a16:creationId xmlns:a16="http://schemas.microsoft.com/office/drawing/2014/main" id="{59B46185-FA5F-A52A-055D-3EB4E99E566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551515" y="1885758"/>
            <a:ext cx="914400" cy="914400"/>
          </a:xfrm>
          <a:prstGeom prst="rect">
            <a:avLst/>
          </a:prstGeom>
        </xdr:spPr>
      </xdr:pic>
    </xdr:grpSp>
    <xdr:clientData/>
  </xdr:twoCellAnchor>
  <xdr:twoCellAnchor editAs="oneCell">
    <xdr:from>
      <xdr:col>23</xdr:col>
      <xdr:colOff>734785</xdr:colOff>
      <xdr:row>11</xdr:row>
      <xdr:rowOff>244928</xdr:rowOff>
    </xdr:from>
    <xdr:to>
      <xdr:col>25</xdr:col>
      <xdr:colOff>209823</xdr:colOff>
      <xdr:row>15</xdr:row>
      <xdr:rowOff>54404</xdr:rowOff>
    </xdr:to>
    <xdr:pic>
      <xdr:nvPicPr>
        <xdr:cNvPr id="3" name="Graphic 2" descr="House with solid fill">
          <a:hlinkClick xmlns:r="http://schemas.openxmlformats.org/officeDocument/2006/relationships" r:id="rId6"/>
          <a:extLst>
            <a:ext uri="{FF2B5EF4-FFF2-40B4-BE49-F238E27FC236}">
              <a16:creationId xmlns:a16="http://schemas.microsoft.com/office/drawing/2014/main" id="{0A3F3A7E-3521-4B12-9EF3-7606C542123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8600964" y="3170464"/>
          <a:ext cx="964203" cy="94295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4</xdr:row>
      <xdr:rowOff>0</xdr:rowOff>
    </xdr:from>
    <xdr:to>
      <xdr:col>5</xdr:col>
      <xdr:colOff>161462</xdr:colOff>
      <xdr:row>7</xdr:row>
      <xdr:rowOff>76201</xdr:rowOff>
    </xdr:to>
    <xdr:grpSp>
      <xdr:nvGrpSpPr>
        <xdr:cNvPr id="5" name="Group 4">
          <a:extLst>
            <a:ext uri="{FF2B5EF4-FFF2-40B4-BE49-F238E27FC236}">
              <a16:creationId xmlns:a16="http://schemas.microsoft.com/office/drawing/2014/main" id="{22CD818B-9563-29CB-43FE-E0643BD57816}"/>
            </a:ext>
          </a:extLst>
        </xdr:cNvPr>
        <xdr:cNvGrpSpPr/>
      </xdr:nvGrpSpPr>
      <xdr:grpSpPr>
        <a:xfrm>
          <a:off x="3575538" y="801077"/>
          <a:ext cx="2662386" cy="662355"/>
          <a:chOff x="3341077" y="801077"/>
          <a:chExt cx="2340000" cy="662355"/>
        </a:xfrm>
      </xdr:grpSpPr>
      <xdr:sp macro="[0]!RunAllResets" textlink="">
        <xdr:nvSpPr>
          <xdr:cNvPr id="2" name="Rounded Rectangle 1">
            <a:extLst>
              <a:ext uri="{FF2B5EF4-FFF2-40B4-BE49-F238E27FC236}">
                <a16:creationId xmlns:a16="http://schemas.microsoft.com/office/drawing/2014/main" id="{ADB5EA2D-72AD-7162-7432-AA4E12FC0F97}"/>
              </a:ext>
            </a:extLst>
          </xdr:cNvPr>
          <xdr:cNvSpPr/>
        </xdr:nvSpPr>
        <xdr:spPr>
          <a:xfrm>
            <a:off x="3341077" y="801077"/>
            <a:ext cx="2340000" cy="662355"/>
          </a:xfrm>
          <a:prstGeom prst="roundRect">
            <a:avLst/>
          </a:prstGeom>
          <a:solidFill>
            <a:srgbClr val="2BA2D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 name="TextBox 2">
            <a:extLst>
              <a:ext uri="{FF2B5EF4-FFF2-40B4-BE49-F238E27FC236}">
                <a16:creationId xmlns:a16="http://schemas.microsoft.com/office/drawing/2014/main" id="{F01F0447-F714-E0F3-E98D-008F1F429D7A}"/>
              </a:ext>
            </a:extLst>
          </xdr:cNvPr>
          <xdr:cNvSpPr txBox="1"/>
        </xdr:nvSpPr>
        <xdr:spPr>
          <a:xfrm>
            <a:off x="4008033" y="984731"/>
            <a:ext cx="1366309" cy="296983"/>
          </a:xfrm>
          <a:prstGeom prst="rect">
            <a:avLst/>
          </a:prstGeom>
          <a:solidFill>
            <a:srgbClr val="2BA2D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400" b="1"/>
              <a:t>Reset</a:t>
            </a:r>
            <a:r>
              <a:rPr lang="en-GB" sz="1400" b="1" baseline="0"/>
              <a:t> Check</a:t>
            </a:r>
            <a:endParaRPr lang="en-GB" sz="1400" b="1"/>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16</xdr:col>
      <xdr:colOff>179915</xdr:colOff>
      <xdr:row>29</xdr:row>
      <xdr:rowOff>21167</xdr:rowOff>
    </xdr:from>
    <xdr:to>
      <xdr:col>31</xdr:col>
      <xdr:colOff>455081</xdr:colOff>
      <xdr:row>54</xdr:row>
      <xdr:rowOff>95250</xdr:rowOff>
    </xdr:to>
    <xdr:sp macro="" textlink="">
      <xdr:nvSpPr>
        <xdr:cNvPr id="9" name="Rectangle: Rounded Corners 8">
          <a:extLst>
            <a:ext uri="{FF2B5EF4-FFF2-40B4-BE49-F238E27FC236}">
              <a16:creationId xmlns:a16="http://schemas.microsoft.com/office/drawing/2014/main" id="{86437A34-DEE2-4BC5-AB52-F8E75F51AEFB}"/>
            </a:ext>
          </a:extLst>
        </xdr:cNvPr>
        <xdr:cNvSpPr/>
      </xdr:nvSpPr>
      <xdr:spPr>
        <a:xfrm>
          <a:off x="9704915" y="5619750"/>
          <a:ext cx="8964083" cy="4572000"/>
        </a:xfrm>
        <a:prstGeom prst="roundRect">
          <a:avLst/>
        </a:prstGeom>
        <a:ln w="57150"/>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GB" sz="1100"/>
        </a:p>
      </xdr:txBody>
    </xdr:sp>
    <xdr:clientData/>
  </xdr:twoCellAnchor>
  <xdr:twoCellAnchor editAs="oneCell">
    <xdr:from>
      <xdr:col>32</xdr:col>
      <xdr:colOff>261139</xdr:colOff>
      <xdr:row>0</xdr:row>
      <xdr:rowOff>51858</xdr:rowOff>
    </xdr:from>
    <xdr:to>
      <xdr:col>33</xdr:col>
      <xdr:colOff>371024</xdr:colOff>
      <xdr:row>2</xdr:row>
      <xdr:rowOff>27940</xdr:rowOff>
    </xdr:to>
    <xdr:pic>
      <xdr:nvPicPr>
        <xdr:cNvPr id="5" name="Picture 4">
          <a:extLst>
            <a:ext uri="{FF2B5EF4-FFF2-40B4-BE49-F238E27FC236}">
              <a16:creationId xmlns:a16="http://schemas.microsoft.com/office/drawing/2014/main" id="{763A6A14-CCA1-4B55-AB37-73FE23908A6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88889" y="51858"/>
          <a:ext cx="727528" cy="667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xdr:colOff>
      <xdr:row>2</xdr:row>
      <xdr:rowOff>38100</xdr:rowOff>
    </xdr:from>
    <xdr:to>
      <xdr:col>15</xdr:col>
      <xdr:colOff>444500</xdr:colOff>
      <xdr:row>27</xdr:row>
      <xdr:rowOff>63500</xdr:rowOff>
    </xdr:to>
    <xdr:sp macro="" textlink="">
      <xdr:nvSpPr>
        <xdr:cNvPr id="6" name="Rectangle: Rounded Corners 5">
          <a:extLst>
            <a:ext uri="{FF2B5EF4-FFF2-40B4-BE49-F238E27FC236}">
              <a16:creationId xmlns:a16="http://schemas.microsoft.com/office/drawing/2014/main" id="{30DA5C2C-C1A0-A02A-51A4-CAC303605976}"/>
            </a:ext>
          </a:extLst>
        </xdr:cNvPr>
        <xdr:cNvSpPr/>
      </xdr:nvSpPr>
      <xdr:spPr>
        <a:xfrm>
          <a:off x="365125" y="726017"/>
          <a:ext cx="8990542" cy="4576233"/>
        </a:xfrm>
        <a:prstGeom prst="roundRect">
          <a:avLst/>
        </a:prstGeom>
        <a:ln w="57150"/>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38099</xdr:colOff>
      <xdr:row>29</xdr:row>
      <xdr:rowOff>12489</xdr:rowOff>
    </xdr:from>
    <xdr:to>
      <xdr:col>15</xdr:col>
      <xdr:colOff>437725</xdr:colOff>
      <xdr:row>54</xdr:row>
      <xdr:rowOff>86572</xdr:rowOff>
    </xdr:to>
    <xdr:sp macro="" textlink="">
      <xdr:nvSpPr>
        <xdr:cNvPr id="8" name="Rectangle: Rounded Corners 7">
          <a:extLst>
            <a:ext uri="{FF2B5EF4-FFF2-40B4-BE49-F238E27FC236}">
              <a16:creationId xmlns:a16="http://schemas.microsoft.com/office/drawing/2014/main" id="{344444E4-E603-46DE-A137-05737E2A5469}"/>
            </a:ext>
          </a:extLst>
        </xdr:cNvPr>
        <xdr:cNvSpPr/>
      </xdr:nvSpPr>
      <xdr:spPr>
        <a:xfrm>
          <a:off x="2311399" y="5562389"/>
          <a:ext cx="8934026" cy="4519083"/>
        </a:xfrm>
        <a:prstGeom prst="roundRect">
          <a:avLst/>
        </a:prstGeom>
        <a:ln w="57150"/>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GB" sz="1100"/>
        </a:p>
      </xdr:txBody>
    </xdr:sp>
    <xdr:clientData/>
  </xdr:twoCellAnchor>
  <xdr:twoCellAnchor>
    <xdr:from>
      <xdr:col>16</xdr:col>
      <xdr:colOff>254000</xdr:colOff>
      <xdr:row>2</xdr:row>
      <xdr:rowOff>15876</xdr:rowOff>
    </xdr:from>
    <xdr:to>
      <xdr:col>31</xdr:col>
      <xdr:colOff>422274</xdr:colOff>
      <xdr:row>27</xdr:row>
      <xdr:rowOff>84667</xdr:rowOff>
    </xdr:to>
    <xdr:sp macro="" textlink="">
      <xdr:nvSpPr>
        <xdr:cNvPr id="10" name="Rectangle: Rounded Corners 9">
          <a:extLst>
            <a:ext uri="{FF2B5EF4-FFF2-40B4-BE49-F238E27FC236}">
              <a16:creationId xmlns:a16="http://schemas.microsoft.com/office/drawing/2014/main" id="{07F0A52B-57FE-4DEE-9B6C-F3E3BBA81076}"/>
            </a:ext>
          </a:extLst>
        </xdr:cNvPr>
        <xdr:cNvSpPr/>
      </xdr:nvSpPr>
      <xdr:spPr>
        <a:xfrm>
          <a:off x="9779000" y="703793"/>
          <a:ext cx="8857191" cy="4619624"/>
        </a:xfrm>
        <a:prstGeom prst="roundRect">
          <a:avLst/>
        </a:prstGeom>
        <a:ln w="57150"/>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GB" sz="1100"/>
        </a:p>
      </xdr:txBody>
    </xdr:sp>
    <xdr:clientData/>
  </xdr:twoCellAnchor>
  <xdr:twoCellAnchor>
    <xdr:from>
      <xdr:col>0</xdr:col>
      <xdr:colOff>952500</xdr:colOff>
      <xdr:row>0</xdr:row>
      <xdr:rowOff>30691</xdr:rowOff>
    </xdr:from>
    <xdr:to>
      <xdr:col>33</xdr:col>
      <xdr:colOff>381000</xdr:colOff>
      <xdr:row>59</xdr:row>
      <xdr:rowOff>95249</xdr:rowOff>
    </xdr:to>
    <xdr:sp macro="" textlink="">
      <xdr:nvSpPr>
        <xdr:cNvPr id="11" name="Rectangle 10">
          <a:extLst>
            <a:ext uri="{FF2B5EF4-FFF2-40B4-BE49-F238E27FC236}">
              <a16:creationId xmlns:a16="http://schemas.microsoft.com/office/drawing/2014/main" id="{D3F6827D-B6CA-412C-BAE1-D501081EE803}"/>
            </a:ext>
          </a:extLst>
        </xdr:cNvPr>
        <xdr:cNvSpPr/>
      </xdr:nvSpPr>
      <xdr:spPr>
        <a:xfrm>
          <a:off x="952500" y="30691"/>
          <a:ext cx="20550188" cy="116374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31</xdr:col>
      <xdr:colOff>574145</xdr:colOff>
      <xdr:row>3</xdr:row>
      <xdr:rowOff>82020</xdr:rowOff>
    </xdr:from>
    <xdr:to>
      <xdr:col>33</xdr:col>
      <xdr:colOff>205748</xdr:colOff>
      <xdr:row>7</xdr:row>
      <xdr:rowOff>134936</xdr:rowOff>
    </xdr:to>
    <xdr:pic>
      <xdr:nvPicPr>
        <xdr:cNvPr id="2" name="Graphic 1" descr="House with solid fill">
          <a:hlinkClick xmlns:r="http://schemas.openxmlformats.org/officeDocument/2006/relationships" r:id="rId2"/>
          <a:extLst>
            <a:ext uri="{FF2B5EF4-FFF2-40B4-BE49-F238E27FC236}">
              <a16:creationId xmlns:a16="http://schemas.microsoft.com/office/drawing/2014/main" id="{5B485083-23FC-4039-A791-A2660118814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0481395" y="844020"/>
          <a:ext cx="846041" cy="886354"/>
        </a:xfrm>
        <a:prstGeom prst="rect">
          <a:avLst/>
        </a:prstGeom>
      </xdr:spPr>
    </xdr:pic>
    <xdr:clientData/>
  </xdr:twoCellAnchor>
  <xdr:twoCellAnchor>
    <xdr:from>
      <xdr:col>1</xdr:col>
      <xdr:colOff>431800</xdr:colOff>
      <xdr:row>3</xdr:row>
      <xdr:rowOff>152400</xdr:rowOff>
    </xdr:from>
    <xdr:to>
      <xdr:col>15</xdr:col>
      <xdr:colOff>59690</xdr:colOff>
      <xdr:row>26</xdr:row>
      <xdr:rowOff>152399</xdr:rowOff>
    </xdr:to>
    <xdr:graphicFrame macro="">
      <xdr:nvGraphicFramePr>
        <xdr:cNvPr id="15" name="Chart 3">
          <a:extLst>
            <a:ext uri="{FF2B5EF4-FFF2-40B4-BE49-F238E27FC236}">
              <a16:creationId xmlns:a16="http://schemas.microsoft.com/office/drawing/2014/main" id="{87DC3B2F-412D-4111-8F91-137F066515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76200</xdr:colOff>
      <xdr:row>3</xdr:row>
      <xdr:rowOff>163408</xdr:rowOff>
    </xdr:from>
    <xdr:to>
      <xdr:col>31</xdr:col>
      <xdr:colOff>25400</xdr:colOff>
      <xdr:row>26</xdr:row>
      <xdr:rowOff>203200</xdr:rowOff>
    </xdr:to>
    <xdr:graphicFrame macro="">
      <xdr:nvGraphicFramePr>
        <xdr:cNvPr id="16" name="Chart 1">
          <a:extLst>
            <a:ext uri="{FF2B5EF4-FFF2-40B4-BE49-F238E27FC236}">
              <a16:creationId xmlns:a16="http://schemas.microsoft.com/office/drawing/2014/main" id="{B05F4704-E72D-4351-8534-1E49A8C5D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513925</xdr:colOff>
      <xdr:row>30</xdr:row>
      <xdr:rowOff>66040</xdr:rowOff>
    </xdr:from>
    <xdr:to>
      <xdr:col>31</xdr:col>
      <xdr:colOff>165100</xdr:colOff>
      <xdr:row>53</xdr:row>
      <xdr:rowOff>25400</xdr:rowOff>
    </xdr:to>
    <xdr:graphicFrame macro="">
      <xdr:nvGraphicFramePr>
        <xdr:cNvPr id="23" name="Chart 4">
          <a:extLst>
            <a:ext uri="{FF2B5EF4-FFF2-40B4-BE49-F238E27FC236}">
              <a16:creationId xmlns:a16="http://schemas.microsoft.com/office/drawing/2014/main" id="{493B5983-C263-4731-96CB-3284FD85AD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346709</xdr:colOff>
      <xdr:row>30</xdr:row>
      <xdr:rowOff>82762</xdr:rowOff>
    </xdr:from>
    <xdr:to>
      <xdr:col>15</xdr:col>
      <xdr:colOff>165100</xdr:colOff>
      <xdr:row>53</xdr:row>
      <xdr:rowOff>38100</xdr:rowOff>
    </xdr:to>
    <xdr:graphicFrame macro="">
      <xdr:nvGraphicFramePr>
        <xdr:cNvPr id="24" name="Chart 2">
          <a:extLst>
            <a:ext uri="{FF2B5EF4-FFF2-40B4-BE49-F238E27FC236}">
              <a16:creationId xmlns:a16="http://schemas.microsoft.com/office/drawing/2014/main" id="{E9B36E8E-A3BD-4AA3-AFA9-0878F68245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lladay, Dan" refreshedDate="45870.547069791668" createdVersion="8" refreshedVersion="8" minRefreshableVersion="3" recordCount="1" xr:uid="{10D04E22-B97F-4447-B4DC-AEAE5C22C3D2}">
  <cacheSource type="worksheet">
    <worksheetSource name="MonthlyLogCount"/>
  </cacheSource>
  <cacheFields count="5">
    <cacheField name="Year" numFmtId="0">
      <sharedItems containsSemiMixedTypes="0" containsString="0" containsNumber="1" containsInteger="1" minValue="2025" maxValue="2025" count="1">
        <n v="2025"/>
      </sharedItems>
    </cacheField>
    <cacheField name="LogMonth" numFmtId="0">
      <sharedItems containsBlank="1" count="2">
        <s v="Jul"/>
        <m u="1"/>
      </sharedItems>
    </cacheField>
    <cacheField name="Quarter" numFmtId="0">
      <sharedItems containsBlank="1" count="2">
        <s v="Q3"/>
        <m u="1"/>
      </sharedItems>
    </cacheField>
    <cacheField name="CheckCount" numFmtId="0">
      <sharedItems containsSemiMixedTypes="0" containsString="0" containsNumber="1" containsInteger="1" minValue="3" maxValue="3"/>
    </cacheField>
    <cacheField name="Monthly Completion Rate" numFmtId="9">
      <sharedItems containsSemiMixedTypes="0" containsString="0" containsNumber="1" minValue="0.27272727272727271" maxValue="0.27272727272727271"/>
    </cacheField>
  </cacheFields>
  <extLst>
    <ext xmlns:x14="http://schemas.microsoft.com/office/spreadsheetml/2009/9/main" uri="{725AE2AE-9491-48be-B2B4-4EB974FC3084}">
      <x14:pivotCacheDefinition pivotCacheId="122124461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lladay, Dan" refreshedDate="45870.547069907407" createdVersion="8" refreshedVersion="8" minRefreshableVersion="3" recordCount="1" xr:uid="{2AA74BF0-90F2-8F46-B026-B915D3160EE1}">
  <cacheSource type="worksheet">
    <worksheetSource name="WeeklyLogCount"/>
  </cacheSource>
  <cacheFields count="6">
    <cacheField name="Year" numFmtId="0">
      <sharedItems containsSemiMixedTypes="0" containsString="0" containsNumber="1" containsInteger="1" minValue="2025" maxValue="2025" count="1">
        <n v="2025"/>
      </sharedItems>
    </cacheField>
    <cacheField name="WeekNum" numFmtId="0">
      <sharedItems containsSemiMixedTypes="0" containsString="0" containsNumber="1" containsInteger="1" minValue="27" maxValue="31" count="4">
        <n v="31"/>
        <n v="27" u="1"/>
        <n v="29" u="1"/>
        <n v="30" u="1"/>
      </sharedItems>
    </cacheField>
    <cacheField name="Quarter" numFmtId="0">
      <sharedItems containsBlank="1" count="2">
        <s v="Q3"/>
        <m u="1"/>
      </sharedItems>
    </cacheField>
    <cacheField name="LogMonth" numFmtId="0">
      <sharedItems containsBlank="1" count="2">
        <s v="Jul"/>
        <m u="1"/>
      </sharedItems>
    </cacheField>
    <cacheField name="CheckCount" numFmtId="0">
      <sharedItems containsSemiMixedTypes="0" containsString="0" containsNumber="1" containsInteger="1" minValue="18" maxValue="18"/>
    </cacheField>
    <cacheField name="Completion Rate" numFmtId="9">
      <sharedItems containsSemiMixedTypes="0" containsString="0" containsNumber="1" minValue="0.78260869565217395" maxValue="0.78260869565217395"/>
    </cacheField>
  </cacheFields>
  <extLst>
    <ext xmlns:x14="http://schemas.microsoft.com/office/spreadsheetml/2009/9/main" uri="{725AE2AE-9491-48be-B2B4-4EB974FC3084}">
      <x14:pivotCacheDefinition pivotCacheId="110200225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lladay, Dan" refreshedDate="45870.547070138891" createdVersion="8" refreshedVersion="8" minRefreshableVersion="3" recordCount="30" xr:uid="{7D7C16B6-A671-A04A-8175-2D23559E5BCF}">
  <cacheSource type="worksheet">
    <worksheetSource name="Merge"/>
  </cacheSource>
  <cacheFields count="5">
    <cacheField name="Date" numFmtId="14">
      <sharedItems containsSemiMixedTypes="0" containsNonDate="0" containsDate="1" containsString="0" minDate="2025-06-20T00:00:00" maxDate="2025-08-01T00:00:00" count="38">
        <d v="2025-06-20T00:00:00"/>
        <d v="2025-06-23T00:00:00"/>
        <d v="2025-06-24T00:00:00"/>
        <d v="2025-06-25T00:00:00"/>
        <d v="2025-06-26T00:00:00"/>
        <d v="2025-06-27T00:00:00"/>
        <d v="2025-06-30T00:00:00"/>
        <d v="2025-07-01T00:00:00"/>
        <d v="2025-07-02T00:00:00"/>
        <d v="2025-07-03T00:00:00"/>
        <d v="2025-07-04T00:00:00"/>
        <d v="2025-07-07T00:00:00"/>
        <d v="2025-07-08T00:00:00"/>
        <d v="2025-07-09T00:00:00"/>
        <d v="2025-07-10T00:00:00"/>
        <d v="2025-07-11T00:00:00"/>
        <d v="2025-07-14T00:00:00"/>
        <d v="2025-07-15T00:00:00"/>
        <d v="2025-07-16T00:00:00"/>
        <d v="2025-07-17T00:00:00"/>
        <d v="2025-07-18T00:00:00"/>
        <d v="2025-07-21T00:00:00"/>
        <d v="2025-07-22T00:00:00"/>
        <d v="2025-07-23T00:00:00"/>
        <d v="2025-07-24T00:00:00"/>
        <d v="2025-07-25T00:00:00"/>
        <d v="2025-07-28T00:00:00"/>
        <d v="2025-07-29T00:00:00"/>
        <d v="2025-07-30T00:00:00"/>
        <d v="2025-07-31T00:00:00"/>
        <d v="2025-06-21T00:00:00" u="1"/>
        <d v="2025-06-22T00:00:00" u="1"/>
        <d v="2025-06-28T00:00:00" u="1"/>
        <d v="2025-06-29T00:00:00" u="1"/>
        <d v="2025-07-05T00:00:00" u="1"/>
        <d v="2025-07-06T00:00:00" u="1"/>
        <d v="2025-07-12T00:00:00" u="1"/>
        <d v="2025-07-13T00:00:00" u="1"/>
      </sharedItems>
    </cacheField>
    <cacheField name="CompletedDailyChecks" numFmtId="0">
      <sharedItems containsSemiMixedTypes="0" containsString="0" containsNumber="1" containsInteger="1" minValue="0" maxValue="18"/>
    </cacheField>
    <cacheField name="Year" numFmtId="0">
      <sharedItems containsSemiMixedTypes="0" containsString="0" containsNumber="1" containsInteger="1" minValue="2025" maxValue="2025" count="1">
        <n v="2025"/>
      </sharedItems>
    </cacheField>
    <cacheField name="Month" numFmtId="0">
      <sharedItems count="2">
        <s v="Jun"/>
        <s v="Jul"/>
      </sharedItems>
    </cacheField>
    <cacheField name="Completion Rate" numFmtId="9">
      <sharedItems containsSemiMixedTypes="0" containsString="0" containsNumber="1" minValue="0" maxValue="0.5"/>
    </cacheField>
  </cacheFields>
  <extLst>
    <ext xmlns:x14="http://schemas.microsoft.com/office/spreadsheetml/2009/9/main" uri="{725AE2AE-9491-48be-B2B4-4EB974FC3084}">
      <x14:pivotCacheDefinition pivotCacheId="15650868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n v="3"/>
    <n v="0.2727272727272727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x v="0"/>
    <n v="18"/>
    <n v="0.7826086956521739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n v="7"/>
    <x v="0"/>
    <x v="0"/>
    <n v="0.19444444444444445"/>
  </r>
  <r>
    <x v="1"/>
    <n v="0"/>
    <x v="0"/>
    <x v="0"/>
    <n v="0"/>
  </r>
  <r>
    <x v="2"/>
    <n v="0"/>
    <x v="0"/>
    <x v="0"/>
    <n v="0"/>
  </r>
  <r>
    <x v="3"/>
    <n v="0"/>
    <x v="0"/>
    <x v="0"/>
    <n v="0"/>
  </r>
  <r>
    <x v="4"/>
    <n v="0"/>
    <x v="0"/>
    <x v="0"/>
    <n v="0"/>
  </r>
  <r>
    <x v="5"/>
    <n v="0"/>
    <x v="0"/>
    <x v="0"/>
    <n v="0"/>
  </r>
  <r>
    <x v="6"/>
    <n v="0"/>
    <x v="0"/>
    <x v="0"/>
    <n v="0"/>
  </r>
  <r>
    <x v="7"/>
    <n v="0"/>
    <x v="0"/>
    <x v="1"/>
    <n v="0"/>
  </r>
  <r>
    <x v="8"/>
    <n v="0"/>
    <x v="0"/>
    <x v="1"/>
    <n v="0"/>
  </r>
  <r>
    <x v="9"/>
    <n v="0"/>
    <x v="0"/>
    <x v="1"/>
    <n v="0"/>
  </r>
  <r>
    <x v="10"/>
    <n v="0"/>
    <x v="0"/>
    <x v="1"/>
    <n v="0"/>
  </r>
  <r>
    <x v="11"/>
    <n v="0"/>
    <x v="0"/>
    <x v="1"/>
    <n v="0"/>
  </r>
  <r>
    <x v="12"/>
    <n v="0"/>
    <x v="0"/>
    <x v="1"/>
    <n v="0"/>
  </r>
  <r>
    <x v="13"/>
    <n v="0"/>
    <x v="0"/>
    <x v="1"/>
    <n v="0"/>
  </r>
  <r>
    <x v="14"/>
    <n v="0"/>
    <x v="0"/>
    <x v="1"/>
    <n v="0"/>
  </r>
  <r>
    <x v="15"/>
    <n v="0"/>
    <x v="0"/>
    <x v="1"/>
    <n v="0"/>
  </r>
  <r>
    <x v="16"/>
    <n v="0"/>
    <x v="0"/>
    <x v="1"/>
    <n v="0"/>
  </r>
  <r>
    <x v="17"/>
    <n v="0"/>
    <x v="0"/>
    <x v="1"/>
    <n v="0"/>
  </r>
  <r>
    <x v="18"/>
    <n v="0"/>
    <x v="0"/>
    <x v="1"/>
    <n v="0"/>
  </r>
  <r>
    <x v="19"/>
    <n v="0"/>
    <x v="0"/>
    <x v="1"/>
    <n v="0"/>
  </r>
  <r>
    <x v="20"/>
    <n v="0"/>
    <x v="0"/>
    <x v="1"/>
    <n v="0"/>
  </r>
  <r>
    <x v="21"/>
    <n v="0"/>
    <x v="0"/>
    <x v="1"/>
    <n v="0"/>
  </r>
  <r>
    <x v="22"/>
    <n v="0"/>
    <x v="0"/>
    <x v="1"/>
    <n v="0"/>
  </r>
  <r>
    <x v="23"/>
    <n v="0"/>
    <x v="0"/>
    <x v="1"/>
    <n v="0"/>
  </r>
  <r>
    <x v="24"/>
    <n v="0"/>
    <x v="0"/>
    <x v="1"/>
    <n v="0"/>
  </r>
  <r>
    <x v="25"/>
    <n v="0"/>
    <x v="0"/>
    <x v="1"/>
    <n v="0"/>
  </r>
  <r>
    <x v="26"/>
    <n v="0"/>
    <x v="0"/>
    <x v="1"/>
    <n v="0"/>
  </r>
  <r>
    <x v="27"/>
    <n v="0"/>
    <x v="0"/>
    <x v="1"/>
    <n v="0"/>
  </r>
  <r>
    <x v="28"/>
    <n v="0"/>
    <x v="0"/>
    <x v="1"/>
    <n v="0"/>
  </r>
  <r>
    <x v="29"/>
    <n v="18"/>
    <x v="0"/>
    <x v="1"/>
    <n v="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B960C6-C62F-714C-9AFA-D37551E902E4}" name="PivotTable1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location ref="AM13:AN14" firstHeaderRow="1" firstDataRow="1" firstDataCol="1"/>
  <pivotFields count="5">
    <pivotField showAll="0">
      <items count="2">
        <item x="0"/>
        <item t="default"/>
      </items>
    </pivotField>
    <pivotField axis="axisRow" showAll="0">
      <items count="3">
        <item x="0"/>
        <item m="1" x="1"/>
        <item t="default"/>
      </items>
    </pivotField>
    <pivotField showAll="0">
      <items count="3">
        <item x="0"/>
        <item m="1" x="1"/>
        <item t="default"/>
      </items>
    </pivotField>
    <pivotField showAll="0"/>
    <pivotField dataField="1" numFmtId="9" showAll="0"/>
  </pivotFields>
  <rowFields count="1">
    <field x="1"/>
  </rowFields>
  <rowItems count="1">
    <i>
      <x/>
    </i>
  </rowItems>
  <colItems count="1">
    <i/>
  </colItems>
  <dataFields count="1">
    <dataField name="Sum of Monthly Completion Rate" fld="4" baseField="0" baseItem="0" numFmtId="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2A0925-B481-6347-9773-EA16C7AD7FB7}" name="PivotTable10" cacheId="1" applyNumberFormats="0" applyBorderFormats="0" applyFontFormats="0" applyPatternFormats="0" applyAlignmentFormats="0" applyWidthHeightFormats="1" dataCaption="Values" updatedVersion="8" minRefreshableVersion="3" showDrill="0" useAutoFormatting="1" rowGrandTotals="0" itemPrintTitles="1" createdVersion="8" indent="0" outline="1" outlineData="1" multipleFieldFilters="0" chartFormat="5">
  <location ref="AJ13:AK14" firstHeaderRow="1" firstDataRow="1" firstDataCol="1"/>
  <pivotFields count="6">
    <pivotField showAll="0">
      <items count="2">
        <item x="0"/>
        <item t="default"/>
      </items>
    </pivotField>
    <pivotField axis="axisRow" showAll="0">
      <items count="5">
        <item m="1" x="1"/>
        <item m="1" x="2"/>
        <item m="1" x="3"/>
        <item x="0"/>
        <item t="default"/>
      </items>
    </pivotField>
    <pivotField showAll="0">
      <items count="3">
        <item x="0"/>
        <item h="1" m="1" x="1"/>
        <item t="default"/>
      </items>
    </pivotField>
    <pivotField showAll="0">
      <items count="3">
        <item x="0"/>
        <item h="1" m="1" x="1"/>
        <item t="default"/>
      </items>
    </pivotField>
    <pivotField showAll="0"/>
    <pivotField dataField="1" numFmtId="9" showAll="0"/>
  </pivotFields>
  <rowFields count="1">
    <field x="1"/>
  </rowFields>
  <rowItems count="1">
    <i>
      <x v="3"/>
    </i>
  </rowItems>
  <colItems count="1">
    <i/>
  </colItems>
  <dataFields count="1">
    <dataField name="Weekly Completion Rate" fld="5" baseField="0" baseItem="0" numFmtId="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8111ED-88D2-344F-B9B1-ABB789E4EED6}" name="PivotTable5"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location ref="AG13:AH43" firstHeaderRow="1" firstDataRow="1" firstDataCol="1"/>
  <pivotFields count="5">
    <pivotField axis="axisRow" numFmtId="14" showAll="0">
      <items count="39">
        <item x="0"/>
        <item m="1" x="30"/>
        <item m="1" x="31"/>
        <item x="1"/>
        <item x="2"/>
        <item x="3"/>
        <item x="4"/>
        <item x="5"/>
        <item m="1" x="32"/>
        <item m="1" x="33"/>
        <item x="6"/>
        <item x="7"/>
        <item x="8"/>
        <item x="9"/>
        <item x="10"/>
        <item m="1" x="34"/>
        <item m="1" x="35"/>
        <item x="11"/>
        <item x="12"/>
        <item x="13"/>
        <item x="14"/>
        <item x="15"/>
        <item m="1" x="36"/>
        <item m="1" x="37"/>
        <item x="16"/>
        <item x="17"/>
        <item x="18"/>
        <item x="19"/>
        <item x="20"/>
        <item x="21"/>
        <item x="22"/>
        <item x="23"/>
        <item x="24"/>
        <item x="25"/>
        <item x="26"/>
        <item x="27"/>
        <item x="28"/>
        <item x="29"/>
        <item t="default"/>
      </items>
    </pivotField>
    <pivotField showAll="0"/>
    <pivotField showAll="0">
      <items count="2">
        <item x="0"/>
        <item t="default"/>
      </items>
    </pivotField>
    <pivotField showAll="0">
      <items count="3">
        <item x="0"/>
        <item x="1"/>
        <item t="default"/>
      </items>
    </pivotField>
    <pivotField dataField="1" numFmtId="9" showAll="0"/>
  </pivotFields>
  <rowFields count="1">
    <field x="0"/>
  </rowFields>
  <rowItems count="30">
    <i>
      <x/>
    </i>
    <i>
      <x v="3"/>
    </i>
    <i>
      <x v="4"/>
    </i>
    <i>
      <x v="5"/>
    </i>
    <i>
      <x v="6"/>
    </i>
    <i>
      <x v="7"/>
    </i>
    <i>
      <x v="10"/>
    </i>
    <i>
      <x v="11"/>
    </i>
    <i>
      <x v="12"/>
    </i>
    <i>
      <x v="13"/>
    </i>
    <i>
      <x v="14"/>
    </i>
    <i>
      <x v="17"/>
    </i>
    <i>
      <x v="18"/>
    </i>
    <i>
      <x v="19"/>
    </i>
    <i>
      <x v="20"/>
    </i>
    <i>
      <x v="21"/>
    </i>
    <i>
      <x v="24"/>
    </i>
    <i>
      <x v="25"/>
    </i>
    <i>
      <x v="26"/>
    </i>
    <i>
      <x v="27"/>
    </i>
    <i>
      <x v="28"/>
    </i>
    <i>
      <x v="29"/>
    </i>
    <i>
      <x v="30"/>
    </i>
    <i>
      <x v="31"/>
    </i>
    <i>
      <x v="32"/>
    </i>
    <i>
      <x v="33"/>
    </i>
    <i>
      <x v="34"/>
    </i>
    <i>
      <x v="35"/>
    </i>
    <i>
      <x v="36"/>
    </i>
    <i>
      <x v="37"/>
    </i>
  </rowItems>
  <colItems count="1">
    <i/>
  </colItems>
  <dataFields count="1">
    <dataField name="Daily Completion Rate" fld="4" baseField="0" baseItem="0" numFmtId="9"/>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3" xr16:uid="{715AFC80-97A8-664B-8E0D-2BBA7782AC76}" autoFormatId="16" applyNumberFormats="0" applyBorderFormats="0" applyFontFormats="0" applyPatternFormats="0" applyAlignmentFormats="0" applyWidthHeightFormats="0">
  <queryTableRefresh nextId="8" unboundColumnsRight="1">
    <queryTableFields count="5">
      <queryTableField id="1" name="Date" tableColumnId="1"/>
      <queryTableField id="2" name="CompletedDailyChecks" tableColumnId="2"/>
      <queryTableField id="6" name="Year" tableColumnId="6"/>
      <queryTableField id="7" name="Month" tableColumnId="7"/>
      <queryTableField id="3" dataBound="0"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5" xr16:uid="{5BE796E9-203D-0B42-B2E3-4F24456DDEB0}" autoFormatId="16" applyNumberFormats="0" applyBorderFormats="0" applyFontFormats="0" applyPatternFormats="0" applyAlignmentFormats="0" applyWidthHeightFormats="0">
  <queryTableRefresh nextId="9" unboundColumnsRight="1">
    <queryTableFields count="6">
      <queryTableField id="1" name="Year" tableColumnId="1"/>
      <queryTableField id="2" name="WeekNum" tableColumnId="2"/>
      <queryTableField id="5" name="Quarter" tableColumnId="5"/>
      <queryTableField id="7" name="LogMonth" tableColumnId="6"/>
      <queryTableField id="3" name="CheckCount" tableColumnId="3"/>
      <queryTableField id="4" dataBound="0"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695B0246-C743-0140-A3C5-BE2D71CBD6E1}" autoFormatId="16" applyNumberFormats="0" applyBorderFormats="0" applyFontFormats="0" applyPatternFormats="0" applyAlignmentFormats="0" applyWidthHeightFormats="0">
  <queryTableRefresh nextId="7" unboundColumnsRight="1">
    <queryTableFields count="5">
      <queryTableField id="1" name="Year" tableColumnId="1"/>
      <queryTableField id="2" name="LogMonth" tableColumnId="2"/>
      <queryTableField id="5" name="Quarter" tableColumnId="6"/>
      <queryTableField id="3" name="CheckCount" tableColumnId="3"/>
      <queryTableField id="4" dataBound="0"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CB75A8B-1F10-5643-84CD-EC56EB2C90A0}" sourceName="Year">
  <pivotTables>
    <pivotTable tabId="12" name="PivotTable5"/>
  </pivotTables>
  <data>
    <tabular pivotCacheId="1565086877">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33A5EA6-3E06-DE4E-962F-80D06CBC3B1D}" sourceName="Month">
  <pivotTables>
    <pivotTable tabId="12" name="PivotTable5"/>
  </pivotTables>
  <data>
    <tabular pivotCacheId="1565086877">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1EBF8C9D-547E-D14E-8D06-D049E5C511D5}" sourceName="Year">
  <pivotTables>
    <pivotTable tabId="12" name="PivotTable10"/>
  </pivotTables>
  <data>
    <tabular pivotCacheId="1102002252">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5DB2C84F-C1B8-7445-A103-7E4ACF93FBDE}" sourceName="Quarter">
  <pivotTables>
    <pivotTable tabId="12" name="PivotTable10"/>
  </pivotTables>
  <data>
    <tabular pivotCacheId="1102002252">
      <items count="2">
        <i x="0" s="1"/>
        <i x="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gMonth" xr10:uid="{FC5F716A-B705-9043-8642-49C385D6B557}" sourceName="LogMonth">
  <pivotTables>
    <pivotTable tabId="12" name="PivotTable10"/>
  </pivotTables>
  <data>
    <tabular pivotCacheId="1102002252">
      <items count="2">
        <i x="0" s="1"/>
        <i x="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87049711-773D-1147-9C28-7B37BC6D9F54}" sourceName="Year">
  <pivotTables>
    <pivotTable tabId="12" name="PivotTable11"/>
  </pivotTables>
  <data>
    <tabular pivotCacheId="1221244614">
      <items count="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gMonth1" xr10:uid="{04D32738-C134-784E-A0E5-F17EE3738DB5}" sourceName="LogMonth">
  <pivotTables>
    <pivotTable tabId="12" name="PivotTable11"/>
  </pivotTables>
  <data>
    <tabular pivotCacheId="1221244614">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 xr10:uid="{7B809571-0690-B141-AA12-7A0187B7329F}" sourceName="Quarter">
  <pivotTables>
    <pivotTable tabId="12" name="PivotTable11"/>
  </pivotTables>
  <data>
    <tabular pivotCacheId="1221244614">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48F95A5-01AE-9649-ADE4-C615CD5A8DC4}" cache="Slicer_Year" caption="Year" rowHeight="230716"/>
  <slicer name="Month" xr10:uid="{D43F14E6-C9A7-774E-A071-FC2958AC1F2C}" cache="Slicer_Month" caption="Month" rowHeight="230716"/>
  <slicer name="Year 1" xr10:uid="{68C21F57-1461-504E-80C1-6F6FCDC63781}" cache="Slicer_Year1" caption="Year" rowHeight="230716"/>
  <slicer name="Quarter" xr10:uid="{6E0D0F40-A414-7B43-A535-4945C810B851}" cache="Slicer_Quarter" caption="Quarter" rowHeight="230716"/>
  <slicer name="LogMonth" xr10:uid="{7BA79552-5743-874C-A2C8-D8CF1037DE63}" cache="Slicer_LogMonth" caption="Month" rowHeight="230716"/>
  <slicer name="Year 2" xr10:uid="{483F6818-83FC-0B4A-8444-0AE662160AC4}" cache="Slicer_Year2" caption="Year" rowHeight="230716"/>
  <slicer name="LogMonth 1" xr10:uid="{601874F8-BA09-0B4C-A709-27F9EE04D425}" cache="Slicer_LogMonth1" caption="LogMonth" rowHeight="230716"/>
  <slicer name="Quarter 1" xr10:uid="{059C9888-7942-A04D-860C-090F98F89B71}" cache="Slicer_Quarter1" caption="Quarter" rowHeight="230716"/>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409D447-F7CA-CF43-991B-82E52E96C97A}" name="LogTable" displayName="LogTable" ref="A3:N83" totalsRowShown="0" headerRowDxfId="13" headerRowBorderDxfId="12" tableBorderDxfId="11">
  <autoFilter ref="A3:N83" xr:uid="{C409D447-F7CA-CF43-991B-82E52E96C97A}"/>
  <sortState xmlns:xlrd2="http://schemas.microsoft.com/office/spreadsheetml/2017/richdata2" ref="A4:N166">
    <sortCondition ref="A3:A166"/>
  </sortState>
  <tableColumns count="14">
    <tableColumn id="1" xr3:uid="{12F9F71F-0C54-6F4F-B5E4-D9940359AF5F}" name="Date &amp; Time" dataDxfId="10"/>
    <tableColumn id="2" xr3:uid="{DEA33D45-D417-824F-8BE3-6B736906BF59}" name="Check"/>
    <tableColumn id="3" xr3:uid="{BC58D054-FD65-6340-AFCF-644FD38B160E}" name="Initials"/>
    <tableColumn id="4" xr3:uid="{E846EE32-25F8-204B-AAB1-B92036AEE8D7}" name="Value 1"/>
    <tableColumn id="5" xr3:uid="{7B494AE3-1B0A-094B-AB0D-58C192430EF2}" name="Value 2"/>
    <tableColumn id="6" xr3:uid="{AC43C6C6-5F44-EB4B-A07E-56D9F4576831}" name="Value 3"/>
    <tableColumn id="7" xr3:uid="{209D2DB9-679C-064C-B592-0879C237A9B8}" name="Value 4"/>
    <tableColumn id="8" xr3:uid="{C36AB093-D121-6A4C-BE80-8F74759FA318}" name="Value 5"/>
    <tableColumn id="9" xr3:uid="{04933871-354E-4F4E-A490-A9BE3DBA6DEF}" name="Source"/>
    <tableColumn id="10" xr3:uid="{5CC7DEEF-E69A-5842-A856-A260E0A06C98}" name="LogDate" dataDxfId="9">
      <calculatedColumnFormula>INT(LogTable[[#This Row],[Date &amp; Time]])</calculatedColumnFormula>
    </tableColumn>
    <tableColumn id="11" xr3:uid="{F46574DE-FF02-7E4C-BABE-2E05D792CF5A}" name="LogMonth" dataDxfId="8">
      <calculatedColumnFormula>TEXT(LogTable[[#This Row],[Date &amp; Time]], "mmm")</calculatedColumnFormula>
    </tableColumn>
    <tableColumn id="12" xr3:uid="{BCC286E2-259F-B244-BC55-0E5FDA3A9A44}" name="WeekNum" dataDxfId="7">
      <calculatedColumnFormula>WEEKNUM(A4, 2)</calculatedColumnFormula>
    </tableColumn>
    <tableColumn id="13" xr3:uid="{49CC89B4-011F-BE49-961B-40A16541A789}" name="Year" dataDxfId="6">
      <calculatedColumnFormula>YEAR(A4)</calculatedColumnFormula>
    </tableColumn>
    <tableColumn id="14" xr3:uid="{070DA459-BEA2-6945-87DB-E6AA3698AD31}" name="Quarter" dataDxfId="5">
      <calculatedColumnFormula>"Q" &amp; ROUNDUP(MONTH(A4)/3, 0)</calculatedColumnFormula>
    </tableColumn>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660C17A-C0A2-9647-BAD9-2DDB81DBD722}" name="Merge" displayName="Merge" ref="A1:E32" tableType="queryTable" totalsRowShown="0">
  <autoFilter ref="A1:E32" xr:uid="{7660C17A-C0A2-9647-BAD9-2DDB81DBD722}"/>
  <tableColumns count="5">
    <tableColumn id="1" xr3:uid="{0F280E99-1D27-3744-89DB-BFE7EBA50F04}" uniqueName="1" name="Date" queryTableFieldId="1" dataDxfId="4"/>
    <tableColumn id="2" xr3:uid="{C13CA14C-D34F-DF41-BADB-7711D3610EA9}" uniqueName="2" name="CompletedDailyChecks" queryTableFieldId="2"/>
    <tableColumn id="6" xr3:uid="{0449702C-712B-9E48-BCBE-5AF01AC71A19}" uniqueName="6" name="Year" queryTableFieldId="6"/>
    <tableColumn id="7" xr3:uid="{5DE37072-7B5E-F24D-B288-EA82285E2839}" uniqueName="7" name="Month" queryTableFieldId="7" dataDxfId="3"/>
    <tableColumn id="3" xr3:uid="{A78E5DD0-F3F5-0B49-9222-A0565477D91E}" uniqueName="3" name="Completion Rate" queryTableFieldId="3" dataDxfId="2" dataCellStyle="Per cent">
      <calculatedColumnFormula>IF(Merge[[#This Row],[CompletedDailyChecks]]="",0,Merge[[#This Row],[CompletedDailyChecks]]/36)</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745CF34-D122-094B-9222-B4D16C355155}" name="WeeklyLogCount" displayName="WeeklyLogCount" ref="A1:F2" tableType="queryTable" totalsRowShown="0">
  <autoFilter ref="A1:F2" xr:uid="{D745CF34-D122-094B-9222-B4D16C355155}"/>
  <tableColumns count="6">
    <tableColumn id="1" xr3:uid="{B608744C-C126-B146-8B1F-9FEA388E2372}" uniqueName="1" name="Year" queryTableFieldId="1"/>
    <tableColumn id="2" xr3:uid="{1604DD4B-0DA4-DD42-A5C0-E44474E61FD4}" uniqueName="2" name="WeekNum" queryTableFieldId="2"/>
    <tableColumn id="5" xr3:uid="{04C5044B-2B62-EA45-A126-EECC0DA6C4C2}" uniqueName="5" name="Quarter" queryTableFieldId="5"/>
    <tableColumn id="6" xr3:uid="{F51CBD19-9172-CF42-A6EC-670910D81589}" uniqueName="6" name="LogMonth" queryTableFieldId="7"/>
    <tableColumn id="3" xr3:uid="{367B23A5-54D6-E441-81F1-5D4C9771A7D8}" uniqueName="3" name="CheckCount" queryTableFieldId="3"/>
    <tableColumn id="4" xr3:uid="{B1E30B31-422B-8042-8CB1-F29DF87F1784}" uniqueName="4" name="Completion Rate" queryTableFieldId="4" dataDxfId="1">
      <calculatedColumnFormula>IF(WeeklyLogCount[[#This Row],[CheckCount]]="",0,WeeklyLogCount[[#This Row],[CheckCount]]/23)</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1FB9DAC-C986-F44A-9A5D-96D6C7DA9B77}" name="MonthlyLogCount" displayName="MonthlyLogCount" ref="A1:E3" tableType="queryTable" totalsRowShown="0">
  <autoFilter ref="A1:E3" xr:uid="{71FB9DAC-C986-F44A-9A5D-96D6C7DA9B77}"/>
  <tableColumns count="5">
    <tableColumn id="1" xr3:uid="{AB77257F-FD1E-C648-86D5-193BAF2B4FF3}" uniqueName="1" name="Year" queryTableFieldId="1"/>
    <tableColumn id="2" xr3:uid="{D5AABF03-B20F-6341-8F8F-7AC3AAB327BA}" uniqueName="2" name="LogMonth" queryTableFieldId="2"/>
    <tableColumn id="6" xr3:uid="{7D432C96-4423-8844-AFEE-49C046E0D5D4}" uniqueName="6" name="Quarter" queryTableFieldId="5"/>
    <tableColumn id="3" xr3:uid="{15F86DE4-D4A0-994A-BA90-AB319EF0813C}" uniqueName="3" name="CheckCount" queryTableFieldId="3"/>
    <tableColumn id="5" xr3:uid="{6AF06D89-82E3-A24E-9AC8-A3EDC95ACD61}" uniqueName="5" name="Monthly Completion Rate" queryTableFieldId="4" dataDxfId="0">
      <calculatedColumnFormula>IF(MonthlyLogCount[[#This Row],[CheckCount]]="",0,MonthlyLogCount[[#This Row],[CheckCount]]/11)</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file:///C:/eu-hub-c29232/West%20Auckland/Departments/Operations/Corrugator/Corri%20Action%20Log.xlsx" TargetMode="External"/><Relationship Id="rId1" Type="http://schemas.openxmlformats.org/officeDocument/2006/relationships/hyperlink" Target="file:///C:/Users/Hallada/AppData/Local/Microsoft/Windows/INetCache/Content.Outlook/SV3HTTTA/RA%20&amp;%20SSOW%202025"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3" Type="http://schemas.openxmlformats.org/officeDocument/2006/relationships/hyperlink" Target="file:///C:/Users/Hallada/AppData/Local/Microsoft/west%20auckland/departments/Operations/Corrugator/fundamentals%202024/facers/Flute%20formation%20opl.pdf" TargetMode="External"/><Relationship Id="rId18" Type="http://schemas.openxmlformats.org/officeDocument/2006/relationships/hyperlink" Target="file:///C:/Users/Hallada/AppData/Local/Microsoft/Windows/INetCache/Content.Outlook/SV3HTTTA/fundamentals%202024/facer%202/Flute%20formation%20opl.pdf" TargetMode="External"/><Relationship Id="rId26" Type="http://schemas.openxmlformats.org/officeDocument/2006/relationships/ctrlProp" Target="../ctrlProps/ctrlProp6.xml"/><Relationship Id="rId39" Type="http://schemas.openxmlformats.org/officeDocument/2006/relationships/ctrlProp" Target="../ctrlProps/ctrlProp19.xml"/><Relationship Id="rId21" Type="http://schemas.openxmlformats.org/officeDocument/2006/relationships/ctrlProp" Target="../ctrlProps/ctrlProp1.xml"/><Relationship Id="rId34" Type="http://schemas.openxmlformats.org/officeDocument/2006/relationships/ctrlProp" Target="../ctrlProps/ctrlProp14.xml"/><Relationship Id="rId7" Type="http://schemas.openxmlformats.org/officeDocument/2006/relationships/hyperlink" Target="file:///C:/Users/Hallada/AppData/Local/Microsoft/Windows/INetCache/Content.Outlook/SV3HTTTA/fundamentals%202024/splicer%20units/paper%20path%20rollers%20OPL.pdf" TargetMode="External"/><Relationship Id="rId12" Type="http://schemas.openxmlformats.org/officeDocument/2006/relationships/hyperlink" Target="file:///C:/eu-hub-c29232/West%20Auckland/Departments/Operations/Corrugator/fundamentals%202024/bridge%20break%20and%20web%20guide/Web%20guide%20sensors%20opl.pdf" TargetMode="External"/><Relationship Id="rId17" Type="http://schemas.openxmlformats.org/officeDocument/2006/relationships/hyperlink" Target="file:///C:/Users/Hallada/AppData/Local/Microsoft/Windows/INetCache/Content.Outlook/SV3HTTTA/fundamentals%202024/facers/Felt%20seal%20OPL.pdf" TargetMode="External"/><Relationship Id="rId25" Type="http://schemas.openxmlformats.org/officeDocument/2006/relationships/ctrlProp" Target="../ctrlProps/ctrlProp5.xml"/><Relationship Id="rId33" Type="http://schemas.openxmlformats.org/officeDocument/2006/relationships/ctrlProp" Target="../ctrlProps/ctrlProp13.xml"/><Relationship Id="rId38" Type="http://schemas.openxmlformats.org/officeDocument/2006/relationships/ctrlProp" Target="../ctrlProps/ctrlProp18.xml"/><Relationship Id="rId2" Type="http://schemas.openxmlformats.org/officeDocument/2006/relationships/hyperlink" Target="file:///C:/Users/Hallada/AppData/Local/Microsoft/Windows/INetCache/Content.Outlook/SV3HTTTA/fundamentals%202024/starch/COR.GK.SR.01%20-%20Check%20of%20glue%20viscosity1.pdf" TargetMode="External"/><Relationship Id="rId16" Type="http://schemas.openxmlformats.org/officeDocument/2006/relationships/hyperlink" Target="file:///C:/Users/Hallada/AppData/Local/Microsoft/Windows/INetCache/Content.Outlook/SV3HTTTA/fundamentals%202024/Hydraulic%20oil%20level%20check%20OPL.pdf" TargetMode="External"/><Relationship Id="rId20" Type="http://schemas.openxmlformats.org/officeDocument/2006/relationships/vmlDrawing" Target="../drawings/vmlDrawing1.vml"/><Relationship Id="rId29" Type="http://schemas.openxmlformats.org/officeDocument/2006/relationships/ctrlProp" Target="../ctrlProps/ctrlProp9.xml"/><Relationship Id="rId1" Type="http://schemas.openxmlformats.org/officeDocument/2006/relationships/hyperlink" Target="file:///C:/eu-hub-c29232/West%20Auckland/Departments/Operations/Corrugator/fundamentals%202024/starch/viscosity%20check%20SOP.pdf" TargetMode="External"/><Relationship Id="rId6" Type="http://schemas.openxmlformats.org/officeDocument/2006/relationships/hyperlink" Target="file:///C:/Users/Hallada/AppData/Local/Microsoft/Windows/INetCache/Content.Outlook/SV3HTTTA/fundamentals%202024/facers/glue%20tray%20and%20rolls%20opl.pdf" TargetMode="External"/><Relationship Id="rId11" Type="http://schemas.openxmlformats.org/officeDocument/2006/relationships/hyperlink" Target="file:///C:/Users/Hallada/AppData/Local/Microsoft/Windows/INetCache/Content.Outlook/SV3HTTTA/fundamentals%202024/facers/scraper%20blade%20OPL.pdf" TargetMode="Externa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trlProp" Target="../ctrlProps/ctrlProp17.xml"/><Relationship Id="rId5" Type="http://schemas.openxmlformats.org/officeDocument/2006/relationships/hyperlink" Target="file:///C:/eu-hub-c29232/West%20Auckland/Departments/Operations/Corrugator/fundamentals%202024/facers/glue%20tray%20and%20rolls%20opl.pdf" TargetMode="External"/><Relationship Id="rId15" Type="http://schemas.openxmlformats.org/officeDocument/2006/relationships/hyperlink" Target="file:///C:/Users/Hallada/AppData/Local/Microsoft/Windows/INetCache/Content.Outlook/SV3HTTTA/fundamentals%202024/facers/SOP%20Iodine%20sample.pdf" TargetMode="Externa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10" Type="http://schemas.openxmlformats.org/officeDocument/2006/relationships/hyperlink" Target="file:///C:/eu-hub-c29232/West%20Auckland/Departments/Operations/Corrugator/fundamentals%202024/facers/Vacuum%20inlet%20%20pipe%20opl.pdf" TargetMode="External"/><Relationship Id="rId19" Type="http://schemas.openxmlformats.org/officeDocument/2006/relationships/drawing" Target="../drawings/drawing3.xml"/><Relationship Id="rId31" Type="http://schemas.openxmlformats.org/officeDocument/2006/relationships/ctrlProp" Target="../ctrlProps/ctrlProp11.xml"/><Relationship Id="rId4" Type="http://schemas.openxmlformats.org/officeDocument/2006/relationships/hyperlink" Target="file:///C:/eu-hub-c29232/West%20Auckland/Departments/Operations/Corrugator/fundamentals%202024/facers/OPL%20temp%20sensor%20verification.pdf" TargetMode="External"/><Relationship Id="rId9" Type="http://schemas.openxmlformats.org/officeDocument/2006/relationships/hyperlink" Target="file:///C:/eu-hub-c29232/West%20Auckland/Departments/Operations/Corrugator/fundamentals%202024/splicer%20units/Reel%20stand%20chucks%20opl.pdf" TargetMode="External"/><Relationship Id="rId14" Type="http://schemas.openxmlformats.org/officeDocument/2006/relationships/hyperlink" Target="file:///C:/Users/Hallada/AppData/Local/Microsoft/Windows/INetCache/Content.Outlook/SV3HTTTA/fundamentals%202024/D-Backer/glue%20tray%20starch%20level%20sensors%20opl.pdf" TargetMode="External"/><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 Id="rId8" Type="http://schemas.openxmlformats.org/officeDocument/2006/relationships/hyperlink" Target="file:///C:/Users/Hallada/AppData/Local/Microsoft/Windows/INetCache/Content.Outlook/SV3HTTTA/fundamentals%202024/splicer%20units/Nap%20foil%20change%20SOP.pdf" TargetMode="External"/><Relationship Id="rId3" Type="http://schemas.openxmlformats.org/officeDocument/2006/relationships/hyperlink" Target="file:///C:/Users/Hallada/AppData/Local/Microsoft/Windows/INetCache/Content.Outlook/SV3HTTTA/fundamentals%202024/starch/COR.GK.SR.01%20-%20Check%20of%20glue%20viscosity1.pdf"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file:///C:/Users/Hallada/AppData/Local/Microsoft/west%20auckland/departments/Operations/Corrugator/fundamentals%202024/SRV/SOP%20knife%20check%20and%20oil%20pad%20change.pdf" TargetMode="External"/><Relationship Id="rId18" Type="http://schemas.openxmlformats.org/officeDocument/2006/relationships/hyperlink" Target="file:///C:/eu-hub-c29232/West%20Auckland/Departments/Operations/Corrugator/fundamentals%202024/Hydraulic%20oil%20level%20check%20OPL.pdf" TargetMode="Externa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printerSettings" Target="../printerSettings/printerSettings1.bin"/><Relationship Id="rId34" Type="http://schemas.openxmlformats.org/officeDocument/2006/relationships/ctrlProp" Target="../ctrlProps/ctrlProp30.xml"/><Relationship Id="rId42" Type="http://schemas.openxmlformats.org/officeDocument/2006/relationships/ctrlProp" Target="../ctrlProps/ctrlProp38.xml"/><Relationship Id="rId7" Type="http://schemas.openxmlformats.org/officeDocument/2006/relationships/hyperlink" Target="file:///C:/eu-hub-c29232/West%20Auckland/Departments/Operations/Corrugator/fundamentals%202024/facers/SOP%20glue%20gap%20calibration.pdf" TargetMode="External"/><Relationship Id="rId2" Type="http://schemas.openxmlformats.org/officeDocument/2006/relationships/hyperlink" Target="file:///C:/Users/Hallada/AppData/Local/Microsoft/west%20auckland/departments/Operations/Corrugator/fundamentals%202024/splicer%20units/Splicer%20knife%20OPL.pdf" TargetMode="External"/><Relationship Id="rId16" Type="http://schemas.openxmlformats.org/officeDocument/2006/relationships/hyperlink" Target="file:///C:/Users/Hallada/AppData/Local/Microsoft/west%20auckland/departments/Operations/Corrugator/fundamentals%202024/tape%20machine/Tape%20machine%20pressure%20and%20air%20leaks%20opl.pdf" TargetMode="External"/><Relationship Id="rId29" Type="http://schemas.openxmlformats.org/officeDocument/2006/relationships/ctrlProp" Target="../ctrlProps/ctrlProp25.xml"/><Relationship Id="rId1" Type="http://schemas.openxmlformats.org/officeDocument/2006/relationships/hyperlink" Target="file:///C:/eu-hub-c29232/West%20Auckland/Departments/Operations/Corrugator/fundamentals%202024/splicer%20units/festoon%20chain%20wear%20opl.pdf" TargetMode="External"/><Relationship Id="rId6" Type="http://schemas.openxmlformats.org/officeDocument/2006/relationships/hyperlink" Target="file:///C:/Users/Hallada/AppData/Local/Microsoft/west%20auckland/departments/Operations/Corrugator/fundamentals%202024/facers/incline%20belt%20opl.pdf" TargetMode="External"/><Relationship Id="rId11" Type="http://schemas.openxmlformats.org/officeDocument/2006/relationships/hyperlink" Target="file:///C:/Users/Hallada/AppData/Local/Microsoft/west%20auckland/departments/Operations/Corrugator/fundamentals%202024/D-Backer/blanket%20condition%20-%20opl.pdf" TargetMode="Externa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hyperlink" Target="file:///C:/Users/Hallada/AppData/Local/Microsoft/west%20auckland/departments/Operations/Corrugator/fundamentals%202024/facers/SOP%20check%20and%20lubricating%20glue%20dam%20plates.pdf" TargetMode="External"/><Relationship Id="rId15" Type="http://schemas.openxmlformats.org/officeDocument/2006/relationships/hyperlink" Target="file:///C:/Users/Hallada/AppData/Local/Microsoft/west%20auckland/departments/Operations/Corrugator/fundamentals%202024/stacker/stacker%20transport%20belt%20condition%20opl.pdf" TargetMode="External"/><Relationship Id="rId23" Type="http://schemas.openxmlformats.org/officeDocument/2006/relationships/vmlDrawing" Target="../drawings/vmlDrawing2.vml"/><Relationship Id="rId28" Type="http://schemas.openxmlformats.org/officeDocument/2006/relationships/ctrlProp" Target="../ctrlProps/ctrlProp24.xml"/><Relationship Id="rId36" Type="http://schemas.openxmlformats.org/officeDocument/2006/relationships/ctrlProp" Target="../ctrlProps/ctrlProp32.xml"/><Relationship Id="rId10" Type="http://schemas.openxmlformats.org/officeDocument/2006/relationships/hyperlink" Target="file:///C:/Users/Hallada/AppData/Local/Microsoft/west%20auckland/departments/Operations/Corrugator/fundamentals%202024/D-Backer/glue%20tray%20starch%20level%20sensors%20opl.pdf" TargetMode="External"/><Relationship Id="rId19" Type="http://schemas.openxmlformats.org/officeDocument/2006/relationships/hyperlink" Target="file:///C:/Users/Hallada/AppData/Local/Microsoft/west%20auckland/departments/Operations/Corrugator/fundamentals%202024/facers/steam%20check%20OPL.pdf" TargetMode="Externa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hyperlink" Target="file:///C:/Users/Hallada/AppData/Local/Microsoft/west%20auckland/departments/Operations/Corrugator/fundamentals%202024/facers/cooling%20bar%20and%20chiller%20opl.pdf" TargetMode="External"/><Relationship Id="rId9" Type="http://schemas.openxmlformats.org/officeDocument/2006/relationships/hyperlink" Target="file:///C:/Users/Hallada/AppData/Local/Microsoft/west%20auckland/departments/Operations/Corrugator/fundamentals%202024/bridge%20break%20and%20web%20guide/bridge%20brake%20tape%20opl.pdf" TargetMode="External"/><Relationship Id="rId14" Type="http://schemas.openxmlformats.org/officeDocument/2006/relationships/hyperlink" Target="file:///C:/eu-hub-c29232/West%20Auckland/Departments/Operations/Corrugator/fundamentals%202024/cut%20off%20knives/NQM%20exit%20brush%20condition%20opl.pdf" TargetMode="External"/><Relationship Id="rId22" Type="http://schemas.openxmlformats.org/officeDocument/2006/relationships/drawing" Target="../drawings/drawing4.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8" Type="http://schemas.openxmlformats.org/officeDocument/2006/relationships/hyperlink" Target="file:///C:/Users/Hallada/AppData/Local/Microsoft/west%20auckland/departments/Operations/Corrugator/fundamentals%202024/bridge%20break%20and%20web%20guide/bridge%20brake%20motors%20opl.pdf" TargetMode="External"/><Relationship Id="rId3" Type="http://schemas.openxmlformats.org/officeDocument/2006/relationships/hyperlink" Target="file:///C:/Users/Hallada/AppData/Local/Microsoft/Windows/INetCache/Content.Outlook/SV3HTTTA/fundamentals%202024/facers/SOP%20cleaning%20teflon%20bar.pdf" TargetMode="External"/><Relationship Id="rId12" Type="http://schemas.openxmlformats.org/officeDocument/2006/relationships/hyperlink" Target="file:///C:/Users/Hallada/AppData/Local/Microsoft/west%20auckland/departments/Operations/Corrugator/fundamentals%202024/Rotary%20shear/rotary%20shear%20transport%20rollers%20opl.pdf" TargetMode="External"/><Relationship Id="rId17" Type="http://schemas.openxmlformats.org/officeDocument/2006/relationships/hyperlink" Target="file:///C:/eu-hub-c29232/West%20Auckland/Departments/Operations/Corrugator/fundamentals%202024/D-Backer/drop%20test%20SOP.pdf" TargetMode="Externa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hyperlink" Target="file:///C:/Users/Hallada/AppData/Local/Microsoft/Windows/INetCache/Content.Outlook/SV3HTTTA/fundamentals%202024/splicer%20units/reel%20stand%20brake%20checks%20SOP.pdf" TargetMode="External"/><Relationship Id="rId41"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18" Type="http://schemas.openxmlformats.org/officeDocument/2006/relationships/ctrlProp" Target="../ctrlProps/ctrlProp56.xml"/><Relationship Id="rId3" Type="http://schemas.openxmlformats.org/officeDocument/2006/relationships/drawing" Target="../drawings/drawing5.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 Type="http://schemas.openxmlformats.org/officeDocument/2006/relationships/hyperlink" Target="file:///C:/eu-hub-c29232/West%20Auckland/Departments/Operations/Corrugator/fundamentals%202024/starch/SOP%20glue%20kitchen%20calibration.pdf" TargetMode="External"/><Relationship Id="rId16" Type="http://schemas.openxmlformats.org/officeDocument/2006/relationships/ctrlProp" Target="../ctrlProps/ctrlProp54.xml"/><Relationship Id="rId1" Type="http://schemas.openxmlformats.org/officeDocument/2006/relationships/hyperlink" Target="file:///C:/Users/Hallada/AppData/Local/Microsoft/west%20auckland/departments/Operations/Corrugator/fundamentals%202024/starch/SOP%20gel%20point%20test.pdf" TargetMode="External"/><Relationship Id="rId6" Type="http://schemas.openxmlformats.org/officeDocument/2006/relationships/ctrlProp" Target="../ctrlProps/ctrlProp44.xml"/><Relationship Id="rId11" Type="http://schemas.openxmlformats.org/officeDocument/2006/relationships/ctrlProp" Target="../ctrlProps/ctrlProp49.xml"/><Relationship Id="rId5" Type="http://schemas.openxmlformats.org/officeDocument/2006/relationships/ctrlProp" Target="../ctrlProps/ctrlProp43.xml"/><Relationship Id="rId15" Type="http://schemas.openxmlformats.org/officeDocument/2006/relationships/ctrlProp" Target="../ctrlProps/ctrlProp53.xml"/><Relationship Id="rId10" Type="http://schemas.openxmlformats.org/officeDocument/2006/relationships/ctrlProp" Target="../ctrlProps/ctrlProp48.xml"/><Relationship Id="rId19" Type="http://schemas.openxmlformats.org/officeDocument/2006/relationships/ctrlProp" Target="../ctrlProps/ctrlProp57.xml"/><Relationship Id="rId4" Type="http://schemas.openxmlformats.org/officeDocument/2006/relationships/vmlDrawing" Target="../drawings/vmlDrawing3.vml"/><Relationship Id="rId9" Type="http://schemas.openxmlformats.org/officeDocument/2006/relationships/ctrlProp" Target="../ctrlProps/ctrlProp47.xml"/><Relationship Id="rId14" Type="http://schemas.openxmlformats.org/officeDocument/2006/relationships/ctrlProp" Target="../ctrlProps/ctrlProp52.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 Type="http://schemas.openxmlformats.org/officeDocument/2006/relationships/ctrlProp" Target="../ctrlProps/ctrlProp58.xml"/><Relationship Id="rId21" Type="http://schemas.openxmlformats.org/officeDocument/2006/relationships/ctrlProp" Target="../ctrlProps/ctrlProp76.x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33" Type="http://schemas.openxmlformats.org/officeDocument/2006/relationships/ctrlProp" Target="../ctrlProps/ctrlProp88.xml"/><Relationship Id="rId2" Type="http://schemas.openxmlformats.org/officeDocument/2006/relationships/vmlDrawing" Target="../drawings/vmlDrawing4.vml"/><Relationship Id="rId16" Type="http://schemas.openxmlformats.org/officeDocument/2006/relationships/ctrlProp" Target="../ctrlProps/ctrlProp71.xml"/><Relationship Id="rId20" Type="http://schemas.openxmlformats.org/officeDocument/2006/relationships/ctrlProp" Target="../ctrlProps/ctrlProp75.xml"/><Relationship Id="rId29" Type="http://schemas.openxmlformats.org/officeDocument/2006/relationships/ctrlProp" Target="../ctrlProps/ctrlProp84.xml"/><Relationship Id="rId1" Type="http://schemas.openxmlformats.org/officeDocument/2006/relationships/drawing" Target="../drawings/drawing6.xml"/><Relationship Id="rId6" Type="http://schemas.openxmlformats.org/officeDocument/2006/relationships/ctrlProp" Target="../ctrlProps/ctrlProp61.xml"/><Relationship Id="rId11" Type="http://schemas.openxmlformats.org/officeDocument/2006/relationships/ctrlProp" Target="../ctrlProps/ctrlProp66.xml"/><Relationship Id="rId24" Type="http://schemas.openxmlformats.org/officeDocument/2006/relationships/ctrlProp" Target="../ctrlProps/ctrlProp79.xml"/><Relationship Id="rId32" Type="http://schemas.openxmlformats.org/officeDocument/2006/relationships/ctrlProp" Target="../ctrlProps/ctrlProp87.xml"/><Relationship Id="rId5" Type="http://schemas.openxmlformats.org/officeDocument/2006/relationships/ctrlProp" Target="../ctrlProps/ctrlProp60.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10" Type="http://schemas.openxmlformats.org/officeDocument/2006/relationships/ctrlProp" Target="../ctrlProps/ctrlProp65.xml"/><Relationship Id="rId19" Type="http://schemas.openxmlformats.org/officeDocument/2006/relationships/ctrlProp" Target="../ctrlProps/ctrlProp74.xml"/><Relationship Id="rId31" Type="http://schemas.openxmlformats.org/officeDocument/2006/relationships/ctrlProp" Target="../ctrlProps/ctrlProp86.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trlProp" Target="../ctrlProps/ctrlProp85.xml"/><Relationship Id="rId8" Type="http://schemas.openxmlformats.org/officeDocument/2006/relationships/ctrlProp" Target="../ctrlProps/ctrlProp63.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1B992-F783-45F5-B8DE-C78A1E083FD3}">
  <sheetPr codeName="Sheet1"/>
  <dimension ref="A1:AK52"/>
  <sheetViews>
    <sheetView showGridLines="0" showRowColHeaders="0" tabSelected="1" topLeftCell="A6" zoomScale="90" zoomScaleNormal="90" workbookViewId="0">
      <selection activeCell="Q39" sqref="Q39"/>
    </sheetView>
  </sheetViews>
  <sheetFormatPr baseColWidth="10" defaultColWidth="9.1640625" defaultRowHeight="15" x14ac:dyDescent="0.2"/>
  <cols>
    <col min="1" max="1" width="13.83203125" style="8" customWidth="1"/>
  </cols>
  <sheetData>
    <row r="1" spans="2:37" x14ac:dyDescent="0.2">
      <c r="B1" s="8"/>
      <c r="C1" s="8"/>
      <c r="D1" s="8"/>
      <c r="E1" s="8"/>
      <c r="F1" s="133" t="s">
        <v>335</v>
      </c>
      <c r="G1" s="133"/>
      <c r="H1" s="133"/>
      <c r="I1" s="133"/>
      <c r="J1" s="133"/>
      <c r="K1" s="133"/>
      <c r="L1" s="133"/>
      <c r="M1" s="133"/>
      <c r="N1" s="133"/>
      <c r="O1" s="133"/>
      <c r="P1" s="133"/>
      <c r="Q1" s="133"/>
      <c r="R1" s="133"/>
      <c r="S1" s="133"/>
      <c r="T1" s="133"/>
      <c r="U1" s="133"/>
      <c r="V1" s="133"/>
      <c r="W1" s="133"/>
      <c r="X1" s="133"/>
      <c r="Y1" s="8"/>
      <c r="Z1" s="8"/>
      <c r="AA1" s="8"/>
      <c r="AB1" s="8"/>
      <c r="AC1" s="8"/>
      <c r="AD1" s="8"/>
      <c r="AE1" s="8"/>
      <c r="AF1" s="8"/>
      <c r="AG1" s="8"/>
      <c r="AH1" s="8"/>
      <c r="AI1" s="8"/>
      <c r="AJ1" s="8"/>
      <c r="AK1" s="8"/>
    </row>
    <row r="2" spans="2:37" x14ac:dyDescent="0.2">
      <c r="B2" s="8"/>
      <c r="C2" s="8"/>
      <c r="D2" s="8"/>
      <c r="E2" s="8"/>
      <c r="F2" s="133"/>
      <c r="G2" s="133"/>
      <c r="H2" s="133"/>
      <c r="I2" s="133"/>
      <c r="J2" s="133"/>
      <c r="K2" s="133"/>
      <c r="L2" s="133"/>
      <c r="M2" s="133"/>
      <c r="N2" s="133"/>
      <c r="O2" s="133"/>
      <c r="P2" s="133"/>
      <c r="Q2" s="133"/>
      <c r="R2" s="133"/>
      <c r="S2" s="133"/>
      <c r="T2" s="133"/>
      <c r="U2" s="133"/>
      <c r="V2" s="133"/>
      <c r="W2" s="133"/>
      <c r="X2" s="133"/>
      <c r="Y2" s="8"/>
      <c r="Z2" s="8"/>
      <c r="AA2" s="8"/>
      <c r="AB2" s="8"/>
      <c r="AC2" s="8"/>
      <c r="AD2" s="8"/>
      <c r="AE2" s="8"/>
      <c r="AF2" s="8"/>
      <c r="AG2" s="8"/>
      <c r="AH2" s="8"/>
      <c r="AI2" s="8"/>
      <c r="AJ2" s="8"/>
      <c r="AK2" s="8"/>
    </row>
    <row r="3" spans="2:37" x14ac:dyDescent="0.2">
      <c r="B3" s="8"/>
      <c r="C3" s="8"/>
      <c r="D3" s="8"/>
      <c r="E3" s="8"/>
      <c r="F3" s="133"/>
      <c r="G3" s="133"/>
      <c r="H3" s="133"/>
      <c r="I3" s="133"/>
      <c r="J3" s="133"/>
      <c r="K3" s="133"/>
      <c r="L3" s="133"/>
      <c r="M3" s="133"/>
      <c r="N3" s="133"/>
      <c r="O3" s="133"/>
      <c r="P3" s="133"/>
      <c r="Q3" s="133"/>
      <c r="R3" s="133"/>
      <c r="S3" s="133"/>
      <c r="T3" s="133"/>
      <c r="U3" s="133"/>
      <c r="V3" s="133"/>
      <c r="W3" s="133"/>
      <c r="X3" s="133"/>
      <c r="Y3" s="8"/>
      <c r="Z3" s="8"/>
      <c r="AA3" s="8"/>
      <c r="AB3" s="8"/>
      <c r="AC3" s="8"/>
      <c r="AD3" s="8"/>
      <c r="AE3" s="8"/>
      <c r="AF3" s="8"/>
      <c r="AG3" s="8"/>
      <c r="AH3" s="8"/>
      <c r="AI3" s="8"/>
      <c r="AJ3" s="8"/>
      <c r="AK3" s="8"/>
    </row>
    <row r="4" spans="2:37" x14ac:dyDescent="0.2">
      <c r="B4" s="8"/>
      <c r="C4" s="8"/>
      <c r="D4" s="8"/>
      <c r="E4" s="8"/>
      <c r="F4" s="133"/>
      <c r="G4" s="133"/>
      <c r="H4" s="133"/>
      <c r="I4" s="133"/>
      <c r="J4" s="133"/>
      <c r="K4" s="133"/>
      <c r="L4" s="133"/>
      <c r="M4" s="133"/>
      <c r="N4" s="133"/>
      <c r="O4" s="133"/>
      <c r="P4" s="133"/>
      <c r="Q4" s="133"/>
      <c r="R4" s="133"/>
      <c r="S4" s="133"/>
      <c r="T4" s="133"/>
      <c r="U4" s="133"/>
      <c r="V4" s="133"/>
      <c r="W4" s="133"/>
      <c r="X4" s="133"/>
      <c r="Y4" s="8"/>
      <c r="Z4" s="8"/>
      <c r="AA4" s="8"/>
      <c r="AB4" s="8"/>
      <c r="AC4" s="8"/>
      <c r="AD4" s="8"/>
      <c r="AE4" s="8"/>
      <c r="AF4" s="8"/>
      <c r="AG4" s="8"/>
      <c r="AH4" s="8"/>
      <c r="AI4" s="8"/>
      <c r="AJ4" s="8"/>
      <c r="AK4" s="8"/>
    </row>
    <row r="5" spans="2:37" x14ac:dyDescent="0.2">
      <c r="B5" s="8"/>
      <c r="C5" s="8"/>
      <c r="D5" s="8"/>
      <c r="E5" s="8"/>
      <c r="F5" s="133"/>
      <c r="G5" s="133"/>
      <c r="H5" s="133"/>
      <c r="I5" s="133"/>
      <c r="J5" s="133"/>
      <c r="K5" s="133"/>
      <c r="L5" s="133"/>
      <c r="M5" s="133"/>
      <c r="N5" s="133"/>
      <c r="O5" s="133"/>
      <c r="P5" s="133"/>
      <c r="Q5" s="133"/>
      <c r="R5" s="133"/>
      <c r="S5" s="133"/>
      <c r="T5" s="133"/>
      <c r="U5" s="133"/>
      <c r="V5" s="133"/>
      <c r="W5" s="133"/>
      <c r="X5" s="133"/>
      <c r="Y5" s="8"/>
      <c r="Z5" s="8"/>
      <c r="AA5" s="8"/>
      <c r="AB5" s="8"/>
      <c r="AC5" s="8"/>
      <c r="AD5" s="8"/>
      <c r="AE5" s="8"/>
      <c r="AF5" s="8"/>
      <c r="AG5" s="8"/>
      <c r="AH5" s="8"/>
      <c r="AI5" s="8"/>
      <c r="AJ5" s="8"/>
      <c r="AK5" s="8"/>
    </row>
    <row r="6" spans="2:37" x14ac:dyDescent="0.2">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row>
    <row r="7" spans="2:37" x14ac:dyDescent="0.2">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row>
    <row r="8" spans="2:37" x14ac:dyDescent="0.2">
      <c r="B8" s="8"/>
      <c r="C8" s="8"/>
      <c r="D8" s="8"/>
      <c r="E8" s="8"/>
      <c r="F8" s="8"/>
      <c r="G8" s="8"/>
      <c r="H8" s="8"/>
      <c r="I8" s="8"/>
      <c r="J8" s="8"/>
      <c r="K8" s="8"/>
      <c r="L8" s="8"/>
      <c r="M8" s="8"/>
      <c r="N8" s="8"/>
      <c r="O8" s="8"/>
      <c r="P8" s="8"/>
      <c r="Q8" s="8"/>
      <c r="R8" s="8"/>
      <c r="S8" s="8"/>
      <c r="T8" s="8"/>
      <c r="U8" s="8"/>
      <c r="V8" s="8"/>
      <c r="W8" s="8"/>
      <c r="X8" s="8"/>
      <c r="Y8" s="8"/>
      <c r="Z8" s="8"/>
      <c r="AA8" s="8"/>
      <c r="AB8" s="8"/>
      <c r="AC8" s="8"/>
      <c r="AD8" s="8"/>
      <c r="AE8" s="8"/>
      <c r="AF8" s="8"/>
      <c r="AG8" s="8"/>
      <c r="AH8" s="8"/>
      <c r="AI8" s="8"/>
      <c r="AJ8" s="8"/>
      <c r="AK8" s="8"/>
    </row>
    <row r="9" spans="2:37" x14ac:dyDescent="0.2">
      <c r="B9" s="8"/>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8"/>
      <c r="AI9" s="8"/>
      <c r="AJ9" s="8"/>
      <c r="AK9" s="8"/>
    </row>
    <row r="10" spans="2:37" ht="15" customHeight="1" x14ac:dyDescent="0.2">
      <c r="B10" s="8"/>
      <c r="C10" s="8"/>
      <c r="D10" s="8"/>
      <c r="E10" s="134" t="s">
        <v>16</v>
      </c>
      <c r="F10" s="134"/>
      <c r="G10" s="134"/>
      <c r="H10" s="134"/>
      <c r="I10" s="134"/>
      <c r="J10" s="8"/>
      <c r="K10" s="8"/>
      <c r="L10" s="135" t="s">
        <v>0</v>
      </c>
      <c r="M10" s="135"/>
      <c r="N10" s="135"/>
      <c r="O10" s="135"/>
      <c r="P10" s="135"/>
      <c r="Q10" s="8"/>
      <c r="R10" s="8"/>
      <c r="S10" s="135" t="s">
        <v>17</v>
      </c>
      <c r="T10" s="135"/>
      <c r="U10" s="135"/>
      <c r="V10" s="135"/>
      <c r="W10" s="135"/>
      <c r="X10" s="8"/>
      <c r="Y10" s="8"/>
      <c r="Z10" s="8"/>
      <c r="AA10" s="8"/>
      <c r="AB10" s="8"/>
      <c r="AC10" s="8"/>
      <c r="AD10" s="8"/>
      <c r="AE10" s="8"/>
      <c r="AF10" s="8"/>
      <c r="AG10" s="8"/>
      <c r="AH10" s="8"/>
      <c r="AI10" s="8"/>
      <c r="AJ10" s="8"/>
      <c r="AK10" s="8"/>
    </row>
    <row r="11" spans="2:37" ht="15" customHeight="1" x14ac:dyDescent="0.2">
      <c r="B11" s="8"/>
      <c r="C11" s="8"/>
      <c r="D11" s="8"/>
      <c r="E11" s="134"/>
      <c r="F11" s="134"/>
      <c r="G11" s="134"/>
      <c r="H11" s="134"/>
      <c r="I11" s="134"/>
      <c r="J11" s="8"/>
      <c r="K11" s="8"/>
      <c r="L11" s="135"/>
      <c r="M11" s="135"/>
      <c r="N11" s="135"/>
      <c r="O11" s="135"/>
      <c r="P11" s="135"/>
      <c r="Q11" s="8"/>
      <c r="R11" s="8"/>
      <c r="S11" s="135"/>
      <c r="T11" s="135"/>
      <c r="U11" s="135"/>
      <c r="V11" s="135"/>
      <c r="W11" s="135"/>
      <c r="X11" s="8"/>
      <c r="Y11" s="8"/>
      <c r="Z11" s="8"/>
      <c r="AA11" s="8"/>
      <c r="AB11" s="8"/>
      <c r="AC11" s="8"/>
      <c r="AD11" s="8"/>
      <c r="AE11" s="8"/>
      <c r="AF11" s="8"/>
      <c r="AG11" s="8"/>
      <c r="AH11" s="8"/>
      <c r="AI11" s="8"/>
      <c r="AJ11" s="8"/>
      <c r="AK11" s="8"/>
    </row>
    <row r="12" spans="2:37" ht="15" customHeight="1" x14ac:dyDescent="0.2">
      <c r="B12" s="8"/>
      <c r="C12" s="8"/>
      <c r="D12" s="8"/>
      <c r="E12" s="134"/>
      <c r="F12" s="134"/>
      <c r="G12" s="134"/>
      <c r="H12" s="134"/>
      <c r="I12" s="134"/>
      <c r="J12" s="8"/>
      <c r="K12" s="8"/>
      <c r="L12" s="135"/>
      <c r="M12" s="135"/>
      <c r="N12" s="135"/>
      <c r="O12" s="135"/>
      <c r="P12" s="135"/>
      <c r="Q12" s="8"/>
      <c r="R12" s="8"/>
      <c r="S12" s="135"/>
      <c r="T12" s="135"/>
      <c r="U12" s="135"/>
      <c r="V12" s="135"/>
      <c r="W12" s="135"/>
      <c r="X12" s="8"/>
      <c r="Y12" s="8"/>
      <c r="Z12" s="8"/>
      <c r="AA12" s="8"/>
      <c r="AB12" s="8"/>
      <c r="AC12" s="8"/>
      <c r="AD12" s="8"/>
      <c r="AE12" s="8"/>
      <c r="AF12" s="8"/>
      <c r="AG12" s="8"/>
      <c r="AH12" s="8"/>
      <c r="AI12" s="8"/>
      <c r="AJ12" s="8"/>
      <c r="AK12" s="8"/>
    </row>
    <row r="13" spans="2:37" ht="15" customHeight="1" x14ac:dyDescent="0.2">
      <c r="B13" s="8"/>
      <c r="C13" s="8"/>
      <c r="D13" s="8"/>
      <c r="E13" s="134"/>
      <c r="F13" s="134"/>
      <c r="G13" s="134"/>
      <c r="H13" s="134"/>
      <c r="I13" s="134"/>
      <c r="J13" s="8"/>
      <c r="K13" s="8"/>
      <c r="L13" s="135"/>
      <c r="M13" s="135"/>
      <c r="N13" s="135"/>
      <c r="O13" s="135"/>
      <c r="P13" s="135"/>
      <c r="Q13" s="8"/>
      <c r="R13" s="8"/>
      <c r="S13" s="135"/>
      <c r="T13" s="135"/>
      <c r="U13" s="135"/>
      <c r="V13" s="135"/>
      <c r="W13" s="135"/>
      <c r="X13" s="8"/>
      <c r="Y13" s="8"/>
      <c r="Z13" s="8"/>
      <c r="AA13" s="8"/>
      <c r="AB13" s="8"/>
      <c r="AC13" s="8"/>
      <c r="AD13" s="8"/>
      <c r="AE13" s="8"/>
      <c r="AF13" s="8"/>
      <c r="AG13" s="8"/>
      <c r="AH13" s="8"/>
      <c r="AI13" s="8"/>
      <c r="AJ13" s="8"/>
      <c r="AK13" s="8"/>
    </row>
    <row r="14" spans="2:37" x14ac:dyDescent="0.2">
      <c r="B14" s="8"/>
      <c r="C14" s="8"/>
      <c r="D14" s="8"/>
      <c r="E14" s="134"/>
      <c r="F14" s="134"/>
      <c r="G14" s="134"/>
      <c r="H14" s="134"/>
      <c r="I14" s="134"/>
      <c r="J14" s="8"/>
      <c r="K14" s="8"/>
      <c r="L14" s="135"/>
      <c r="M14" s="135"/>
      <c r="N14" s="135"/>
      <c r="O14" s="135"/>
      <c r="P14" s="135"/>
      <c r="Q14" s="8"/>
      <c r="R14" s="8"/>
      <c r="S14" s="135"/>
      <c r="T14" s="135"/>
      <c r="U14" s="135"/>
      <c r="V14" s="135"/>
      <c r="W14" s="135"/>
      <c r="X14" s="8"/>
      <c r="Y14" s="8"/>
      <c r="Z14" s="8"/>
      <c r="AA14" s="8"/>
      <c r="AB14" s="8"/>
      <c r="AC14" s="8"/>
      <c r="AD14" s="8"/>
      <c r="AE14" s="8"/>
      <c r="AF14" s="8"/>
      <c r="AG14" s="8"/>
      <c r="AH14" s="8"/>
      <c r="AI14" s="8"/>
      <c r="AJ14" s="8"/>
      <c r="AK14" s="8"/>
    </row>
    <row r="15" spans="2:37" x14ac:dyDescent="0.2">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row>
    <row r="16" spans="2:37" x14ac:dyDescent="0.2">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row>
    <row r="17" spans="2:37" x14ac:dyDescent="0.2">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row>
    <row r="18" spans="2:37" x14ac:dyDescent="0.2">
      <c r="B18" s="8"/>
      <c r="C18" s="8"/>
      <c r="D18" s="8"/>
      <c r="E18" s="134" t="s">
        <v>18</v>
      </c>
      <c r="F18" s="134"/>
      <c r="G18" s="134"/>
      <c r="H18" s="134"/>
      <c r="I18" s="134"/>
      <c r="J18" s="8"/>
      <c r="K18" s="8"/>
      <c r="L18" s="134" t="s">
        <v>19</v>
      </c>
      <c r="M18" s="134"/>
      <c r="N18" s="134"/>
      <c r="O18" s="134"/>
      <c r="P18" s="134"/>
      <c r="Q18" s="8"/>
      <c r="R18" s="8"/>
      <c r="S18" s="135" t="s">
        <v>20</v>
      </c>
      <c r="T18" s="135"/>
      <c r="U18" s="135"/>
      <c r="V18" s="135"/>
      <c r="W18" s="135"/>
      <c r="X18" s="8"/>
      <c r="Y18" s="8"/>
      <c r="Z18" s="8"/>
      <c r="AA18" s="8"/>
      <c r="AB18" s="8"/>
      <c r="AC18" s="8"/>
      <c r="AD18" s="8"/>
      <c r="AE18" s="8"/>
      <c r="AF18" s="8"/>
      <c r="AG18" s="8"/>
      <c r="AH18" s="8"/>
      <c r="AI18" s="8"/>
      <c r="AJ18" s="8"/>
      <c r="AK18" s="8"/>
    </row>
    <row r="19" spans="2:37" x14ac:dyDescent="0.2">
      <c r="B19" s="8"/>
      <c r="C19" s="8"/>
      <c r="D19" s="8"/>
      <c r="E19" s="134"/>
      <c r="F19" s="134"/>
      <c r="G19" s="134"/>
      <c r="H19" s="134"/>
      <c r="I19" s="134"/>
      <c r="J19" s="8"/>
      <c r="K19" s="8"/>
      <c r="L19" s="134"/>
      <c r="M19" s="134"/>
      <c r="N19" s="134"/>
      <c r="O19" s="134"/>
      <c r="P19" s="134"/>
      <c r="Q19" s="8"/>
      <c r="R19" s="8"/>
      <c r="S19" s="135"/>
      <c r="T19" s="135"/>
      <c r="U19" s="135"/>
      <c r="V19" s="135"/>
      <c r="W19" s="135"/>
      <c r="X19" s="8"/>
      <c r="Y19" s="8"/>
      <c r="Z19" s="8"/>
      <c r="AA19" s="8"/>
      <c r="AB19" s="8"/>
      <c r="AC19" s="8"/>
      <c r="AD19" s="8"/>
      <c r="AE19" s="8"/>
      <c r="AF19" s="8"/>
      <c r="AG19" s="8"/>
      <c r="AH19" s="8"/>
      <c r="AI19" s="8"/>
      <c r="AJ19" s="8"/>
      <c r="AK19" s="8"/>
    </row>
    <row r="20" spans="2:37" x14ac:dyDescent="0.2">
      <c r="B20" s="8"/>
      <c r="C20" s="8"/>
      <c r="D20" s="8"/>
      <c r="E20" s="134"/>
      <c r="F20" s="134"/>
      <c r="G20" s="134"/>
      <c r="H20" s="134"/>
      <c r="I20" s="134"/>
      <c r="J20" s="8"/>
      <c r="K20" s="8"/>
      <c r="L20" s="134"/>
      <c r="M20" s="134"/>
      <c r="N20" s="134"/>
      <c r="O20" s="134"/>
      <c r="P20" s="134"/>
      <c r="Q20" s="8"/>
      <c r="R20" s="8"/>
      <c r="S20" s="135"/>
      <c r="T20" s="135"/>
      <c r="U20" s="135"/>
      <c r="V20" s="135"/>
      <c r="W20" s="135"/>
      <c r="X20" s="8"/>
      <c r="Y20" s="8"/>
      <c r="Z20" s="8"/>
      <c r="AA20" s="8"/>
      <c r="AB20" s="8"/>
      <c r="AC20" s="8"/>
      <c r="AD20" s="8"/>
      <c r="AE20" s="8"/>
      <c r="AF20" s="8"/>
      <c r="AG20" s="8"/>
      <c r="AH20" s="8"/>
      <c r="AI20" s="8"/>
      <c r="AJ20" s="8"/>
      <c r="AK20" s="8"/>
    </row>
    <row r="21" spans="2:37" x14ac:dyDescent="0.2">
      <c r="B21" s="8"/>
      <c r="C21" s="8"/>
      <c r="D21" s="8"/>
      <c r="E21" s="134"/>
      <c r="F21" s="134"/>
      <c r="G21" s="134"/>
      <c r="H21" s="134"/>
      <c r="I21" s="134"/>
      <c r="J21" s="8"/>
      <c r="K21" s="8"/>
      <c r="L21" s="134"/>
      <c r="M21" s="134"/>
      <c r="N21" s="134"/>
      <c r="O21" s="134"/>
      <c r="P21" s="134"/>
      <c r="Q21" s="8"/>
      <c r="R21" s="8"/>
      <c r="S21" s="135"/>
      <c r="T21" s="135"/>
      <c r="U21" s="135"/>
      <c r="V21" s="135"/>
      <c r="W21" s="135"/>
      <c r="X21" s="8"/>
      <c r="Y21" s="8"/>
      <c r="Z21" s="8"/>
      <c r="AA21" s="8"/>
      <c r="AB21" s="8"/>
      <c r="AC21" s="8"/>
      <c r="AD21" s="8"/>
      <c r="AE21" s="8"/>
      <c r="AF21" s="8"/>
      <c r="AG21" s="8"/>
      <c r="AH21" s="8"/>
      <c r="AI21" s="8"/>
      <c r="AJ21" s="8"/>
      <c r="AK21" s="8"/>
    </row>
    <row r="22" spans="2:37" x14ac:dyDescent="0.2">
      <c r="B22" s="8"/>
      <c r="C22" s="8"/>
      <c r="D22" s="8"/>
      <c r="E22" s="134"/>
      <c r="F22" s="134"/>
      <c r="G22" s="134"/>
      <c r="H22" s="134"/>
      <c r="I22" s="134"/>
      <c r="J22" s="8"/>
      <c r="K22" s="8"/>
      <c r="L22" s="134"/>
      <c r="M22" s="134"/>
      <c r="N22" s="134"/>
      <c r="O22" s="134"/>
      <c r="P22" s="134"/>
      <c r="Q22" s="8"/>
      <c r="R22" s="8"/>
      <c r="S22" s="135"/>
      <c r="T22" s="135"/>
      <c r="U22" s="135"/>
      <c r="V22" s="135"/>
      <c r="W22" s="135"/>
      <c r="X22" s="8"/>
      <c r="Y22" s="8"/>
      <c r="Z22" s="8"/>
      <c r="AA22" s="8"/>
      <c r="AB22" s="8"/>
      <c r="AC22" s="8"/>
      <c r="AD22" s="8"/>
      <c r="AE22" s="8"/>
      <c r="AF22" s="8"/>
      <c r="AG22" s="8"/>
      <c r="AH22" s="8"/>
      <c r="AI22" s="8"/>
      <c r="AJ22" s="8"/>
      <c r="AK22" s="8"/>
    </row>
    <row r="23" spans="2:37" x14ac:dyDescent="0.2">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row>
    <row r="24" spans="2:37" x14ac:dyDescent="0.2">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row>
    <row r="25" spans="2:37" x14ac:dyDescent="0.2">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row>
    <row r="26" spans="2:37" x14ac:dyDescent="0.2">
      <c r="B26" s="8"/>
      <c r="C26" s="8"/>
      <c r="D26" s="8"/>
      <c r="E26" s="135" t="s">
        <v>21</v>
      </c>
      <c r="F26" s="135"/>
      <c r="G26" s="135"/>
      <c r="H26" s="135"/>
      <c r="I26" s="135"/>
      <c r="J26" s="8"/>
      <c r="K26" s="8"/>
      <c r="L26" s="135" t="s">
        <v>22</v>
      </c>
      <c r="M26" s="135"/>
      <c r="N26" s="135"/>
      <c r="O26" s="135"/>
      <c r="P26" s="135"/>
      <c r="Q26" s="8"/>
      <c r="R26" s="8"/>
      <c r="S26" s="132" t="s">
        <v>320</v>
      </c>
      <c r="T26" s="132"/>
      <c r="U26" s="132"/>
      <c r="V26" s="132"/>
      <c r="W26" s="132"/>
      <c r="X26" s="8"/>
      <c r="Y26" s="8"/>
      <c r="Z26" s="8"/>
      <c r="AA26" s="8"/>
      <c r="AB26" s="8"/>
      <c r="AC26" s="8"/>
      <c r="AD26" s="8"/>
      <c r="AE26" s="8"/>
      <c r="AF26" s="8"/>
      <c r="AG26" s="8"/>
      <c r="AH26" s="8"/>
      <c r="AI26" s="8"/>
      <c r="AJ26" s="8"/>
      <c r="AK26" s="8"/>
    </row>
    <row r="27" spans="2:37" x14ac:dyDescent="0.2">
      <c r="B27" s="8"/>
      <c r="C27" s="8"/>
      <c r="D27" s="8"/>
      <c r="E27" s="135"/>
      <c r="F27" s="135"/>
      <c r="G27" s="135"/>
      <c r="H27" s="135"/>
      <c r="I27" s="135"/>
      <c r="J27" s="8"/>
      <c r="K27" s="8"/>
      <c r="L27" s="135"/>
      <c r="M27" s="135"/>
      <c r="N27" s="135"/>
      <c r="O27" s="135"/>
      <c r="P27" s="135"/>
      <c r="Q27" s="8"/>
      <c r="R27" s="8"/>
      <c r="S27" s="132"/>
      <c r="T27" s="132"/>
      <c r="U27" s="132"/>
      <c r="V27" s="132"/>
      <c r="W27" s="132"/>
      <c r="X27" s="8"/>
      <c r="Y27" s="8"/>
      <c r="Z27" s="8"/>
      <c r="AA27" s="8"/>
      <c r="AB27" s="8"/>
      <c r="AC27" s="8"/>
      <c r="AD27" s="8"/>
      <c r="AE27" s="8"/>
      <c r="AF27" s="8"/>
      <c r="AG27" s="8"/>
      <c r="AH27" s="8"/>
      <c r="AI27" s="8"/>
      <c r="AJ27" s="8"/>
      <c r="AK27" s="8"/>
    </row>
    <row r="28" spans="2:37" x14ac:dyDescent="0.2">
      <c r="B28" s="8"/>
      <c r="C28" s="8"/>
      <c r="D28" s="8"/>
      <c r="E28" s="135"/>
      <c r="F28" s="135"/>
      <c r="G28" s="135"/>
      <c r="H28" s="135"/>
      <c r="I28" s="135"/>
      <c r="J28" s="8"/>
      <c r="K28" s="8"/>
      <c r="L28" s="135"/>
      <c r="M28" s="135"/>
      <c r="N28" s="135"/>
      <c r="O28" s="135"/>
      <c r="P28" s="135"/>
      <c r="Q28" s="8"/>
      <c r="R28" s="8"/>
      <c r="S28" s="132"/>
      <c r="T28" s="132"/>
      <c r="U28" s="132"/>
      <c r="V28" s="132"/>
      <c r="W28" s="132"/>
      <c r="X28" s="8"/>
      <c r="Y28" s="8"/>
      <c r="Z28" s="8"/>
      <c r="AA28" s="8"/>
      <c r="AB28" s="8"/>
      <c r="AC28" s="8"/>
      <c r="AD28" s="8"/>
      <c r="AE28" s="8"/>
      <c r="AF28" s="8"/>
      <c r="AG28" s="8"/>
      <c r="AH28" s="8"/>
      <c r="AI28" s="8"/>
      <c r="AJ28" s="8"/>
      <c r="AK28" s="8"/>
    </row>
    <row r="29" spans="2:37" x14ac:dyDescent="0.2">
      <c r="B29" s="8"/>
      <c r="C29" s="8"/>
      <c r="D29" s="8"/>
      <c r="E29" s="135"/>
      <c r="F29" s="135"/>
      <c r="G29" s="135"/>
      <c r="H29" s="135"/>
      <c r="I29" s="135"/>
      <c r="J29" s="8"/>
      <c r="K29" s="8"/>
      <c r="L29" s="135"/>
      <c r="M29" s="135"/>
      <c r="N29" s="135"/>
      <c r="O29" s="135"/>
      <c r="P29" s="135"/>
      <c r="Q29" s="8"/>
      <c r="R29" s="8"/>
      <c r="S29" s="132"/>
      <c r="T29" s="132"/>
      <c r="U29" s="132"/>
      <c r="V29" s="132"/>
      <c r="W29" s="132"/>
      <c r="X29" s="8"/>
      <c r="Y29" s="8"/>
      <c r="Z29" s="8"/>
      <c r="AA29" s="8"/>
      <c r="AB29" s="8"/>
      <c r="AC29" s="8"/>
      <c r="AD29" s="8"/>
      <c r="AE29" s="8"/>
      <c r="AF29" s="8"/>
      <c r="AG29" s="8"/>
      <c r="AH29" s="8"/>
      <c r="AI29" s="8"/>
      <c r="AJ29" s="8"/>
      <c r="AK29" s="8"/>
    </row>
    <row r="30" spans="2:37" x14ac:dyDescent="0.2">
      <c r="B30" s="8"/>
      <c r="C30" s="8"/>
      <c r="D30" s="8"/>
      <c r="E30" s="135"/>
      <c r="F30" s="135"/>
      <c r="G30" s="135"/>
      <c r="H30" s="135"/>
      <c r="I30" s="135"/>
      <c r="J30" s="8"/>
      <c r="K30" s="8"/>
      <c r="L30" s="135"/>
      <c r="M30" s="135"/>
      <c r="N30" s="135"/>
      <c r="O30" s="135"/>
      <c r="P30" s="135"/>
      <c r="Q30" s="8"/>
      <c r="R30" s="8"/>
      <c r="S30" s="132"/>
      <c r="T30" s="132"/>
      <c r="U30" s="132"/>
      <c r="V30" s="132"/>
      <c r="W30" s="132"/>
      <c r="X30" s="8"/>
      <c r="Y30" s="8"/>
      <c r="Z30" s="8"/>
      <c r="AA30" s="8"/>
      <c r="AB30" s="8"/>
      <c r="AC30" s="8"/>
      <c r="AD30" s="8"/>
      <c r="AE30" s="8"/>
      <c r="AF30" s="8"/>
      <c r="AG30" s="8"/>
      <c r="AH30" s="8"/>
      <c r="AI30" s="8"/>
      <c r="AJ30" s="8"/>
      <c r="AK30" s="8"/>
    </row>
    <row r="31" spans="2:37" x14ac:dyDescent="0.2">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row>
    <row r="32" spans="2:37" x14ac:dyDescent="0.2">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row>
    <row r="33" spans="2:37" x14ac:dyDescent="0.2">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row>
    <row r="34" spans="2:37" x14ac:dyDescent="0.2">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row>
    <row r="35" spans="2:37" x14ac:dyDescent="0.2">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row>
    <row r="36" spans="2:37" x14ac:dyDescent="0.2">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row>
    <row r="37" spans="2:37" x14ac:dyDescent="0.2">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row>
    <row r="38" spans="2:37" x14ac:dyDescent="0.2">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row>
    <row r="39" spans="2:37" x14ac:dyDescent="0.2">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row>
    <row r="40" spans="2:37" x14ac:dyDescent="0.2">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row>
    <row r="41" spans="2:37" x14ac:dyDescent="0.2">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row>
    <row r="42" spans="2:37" x14ac:dyDescent="0.2">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row>
    <row r="43" spans="2:37" x14ac:dyDescent="0.2">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row>
    <row r="44" spans="2:37" x14ac:dyDescent="0.2">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row>
    <row r="45" spans="2:37" x14ac:dyDescent="0.2">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row>
    <row r="46" spans="2:37" x14ac:dyDescent="0.2">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row>
    <row r="47" spans="2:37" x14ac:dyDescent="0.2">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row>
    <row r="48" spans="2:37" x14ac:dyDescent="0.2">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row>
    <row r="49" spans="2:33" x14ac:dyDescent="0.2">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row>
    <row r="50" spans="2:33" x14ac:dyDescent="0.2">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row>
    <row r="51" spans="2:33" x14ac:dyDescent="0.2">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row>
    <row r="52" spans="2:33" x14ac:dyDescent="0.2">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row>
  </sheetData>
  <protectedRanges>
    <protectedRange algorithmName="SHA-512" hashValue="QvGE4TEpA0VCFIn9Vic9J5fMkKiRkWpMFCFuaLQC1yHTInGatqHbdmuoS/0Rr4FRJaEmVAUHXItQn53TV7hYKw==" saltValue="7kqa7oGxV/bvsoW/v9aWiA==" spinCount="100000" sqref="C5:E8" name="Range1_4"/>
  </protectedRanges>
  <mergeCells count="10">
    <mergeCell ref="S26:W30"/>
    <mergeCell ref="F1:X5"/>
    <mergeCell ref="E10:I14"/>
    <mergeCell ref="L10:P14"/>
    <mergeCell ref="S10:W14"/>
    <mergeCell ref="E18:I22"/>
    <mergeCell ref="L18:P22"/>
    <mergeCell ref="E26:I30"/>
    <mergeCell ref="L26:P30"/>
    <mergeCell ref="S18:W22"/>
  </mergeCells>
  <hyperlinks>
    <hyperlink ref="L10:P14" location="'Daily checks'!A1" display="Daily checks" xr:uid="{E5ECDA53-17E8-4791-B68B-40FC231144C6}"/>
    <hyperlink ref="L26:P30" r:id="rId1" display="Risk assessments and SSOW" xr:uid="{FC395660-2447-4B35-9AF5-665130152B70}"/>
    <hyperlink ref="S10:W14" location="'Weekly checks'!A1" display="Weekly checks" xr:uid="{F8039593-43BF-457D-A4AA-EB657AAABAF0}"/>
    <hyperlink ref="E10:I14" location="'Fundamental list'!A1" display="Fundamental list" xr:uid="{C4824254-B8AB-45AB-8F1D-8BA3F11AD76E}"/>
    <hyperlink ref="E18:I22" location="'Monthly checks'!A1" display="Monthly checks" xr:uid="{0D4F6CEC-2A22-4CDD-9604-61B0218DCE02}"/>
    <hyperlink ref="L18:P22" location="'6 weeks+ checks'!A1" display="6 Weeks+ checks" xr:uid="{A10B2A6F-F68A-4246-AEAD-F0D88B97CB14}"/>
    <hyperlink ref="S18:W22" r:id="rId2" display="Engineer action log" xr:uid="{D5CD56FB-918C-43C9-9197-B182590127D4}"/>
    <hyperlink ref="E26:I30" location="'Weekly cleaning schedule'!A1" display="Weekly cleaning schedule" xr:uid="{F9333783-0D0F-4234-BF85-A4B84BC61B3F}"/>
    <hyperlink ref="S26:W30" location="'Completion Rate'!A1" display="Completion Rate" xr:uid="{7AF6FED1-861D-4EF8-92DC-93A6B8A9D0AC}"/>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8EF36-C8B4-4335-A80C-029C23B9059A}">
  <sheetPr codeName="Sheet6"/>
  <dimension ref="B1:AC57"/>
  <sheetViews>
    <sheetView showGridLines="0" showRowColHeaders="0" topLeftCell="J2" zoomScale="76" zoomScaleNormal="76" workbookViewId="0">
      <selection activeCell="N8" sqref="N8:N32"/>
    </sheetView>
  </sheetViews>
  <sheetFormatPr baseColWidth="10" defaultColWidth="9.1640625" defaultRowHeight="15" x14ac:dyDescent="0.2"/>
  <cols>
    <col min="1" max="1" width="8.33203125" style="21" customWidth="1"/>
    <col min="2" max="3" width="7.5" style="21" customWidth="1"/>
    <col min="4" max="4" width="12.1640625" style="21" customWidth="1"/>
    <col min="5" max="5" width="26.1640625" style="21" customWidth="1"/>
    <col min="6" max="6" width="20.5" style="21" customWidth="1"/>
    <col min="7" max="7" width="12.1640625" style="21" customWidth="1"/>
    <col min="8" max="8" width="11.1640625" style="21" customWidth="1"/>
    <col min="9" max="9" width="20.1640625" style="21" customWidth="1"/>
    <col min="10" max="10" width="40.1640625" style="21" customWidth="1"/>
    <col min="11" max="11" width="4.5" style="21" customWidth="1"/>
    <col min="12" max="12" width="12.1640625" style="21" customWidth="1"/>
    <col min="13" max="13" width="25.83203125" style="21" customWidth="1"/>
    <col min="14" max="14" width="20.5" style="21" customWidth="1"/>
    <col min="15" max="15" width="12.1640625" style="21" customWidth="1"/>
    <col min="16" max="16" width="11" style="21" customWidth="1"/>
    <col min="17" max="17" width="20.1640625" style="21" customWidth="1"/>
    <col min="18" max="18" width="40.1640625" style="21" customWidth="1"/>
    <col min="19" max="21" width="12.1640625" style="21" customWidth="1"/>
    <col min="22" max="22" width="16.5" style="21" customWidth="1"/>
    <col min="23" max="24" width="11.1640625" style="21" customWidth="1"/>
    <col min="25" max="26" width="13.1640625" style="21" customWidth="1"/>
    <col min="27" max="28" width="11.5" style="21" customWidth="1"/>
    <col min="29" max="29" width="1.83203125" style="21" customWidth="1"/>
    <col min="30" max="16384" width="9.1640625" style="21"/>
  </cols>
  <sheetData>
    <row r="1" spans="2:29" ht="8.25" customHeight="1" x14ac:dyDescent="0.2">
      <c r="B1" s="20"/>
      <c r="C1"/>
      <c r="D1"/>
      <c r="E1"/>
      <c r="F1"/>
      <c r="G1"/>
      <c r="H1"/>
      <c r="I1"/>
      <c r="J1"/>
      <c r="K1"/>
      <c r="L1"/>
      <c r="M1"/>
      <c r="N1"/>
      <c r="O1"/>
      <c r="P1"/>
      <c r="Q1"/>
      <c r="R1"/>
      <c r="S1"/>
      <c r="T1"/>
      <c r="U1"/>
      <c r="V1"/>
      <c r="W1"/>
      <c r="X1"/>
      <c r="Y1"/>
      <c r="Z1"/>
      <c r="AA1"/>
    </row>
    <row r="2" spans="2:29" ht="25.5" customHeight="1" x14ac:dyDescent="0.2">
      <c r="B2" s="137" t="s">
        <v>12</v>
      </c>
      <c r="C2" s="137"/>
      <c r="D2" s="137"/>
      <c r="E2" s="137"/>
      <c r="F2" s="137"/>
      <c r="G2" s="137"/>
      <c r="H2" s="137"/>
      <c r="I2" s="137"/>
      <c r="J2" s="137"/>
      <c r="K2" s="137"/>
      <c r="L2" s="137"/>
      <c r="M2" s="137"/>
      <c r="N2" s="137"/>
      <c r="O2" s="137"/>
      <c r="P2" s="137"/>
      <c r="Q2" s="137"/>
      <c r="R2" s="137"/>
      <c r="S2" s="137"/>
      <c r="T2" s="137"/>
      <c r="U2" s="30"/>
      <c r="V2" s="30"/>
      <c r="W2" s="30"/>
      <c r="X2"/>
      <c r="Y2"/>
      <c r="Z2"/>
      <c r="AA2"/>
    </row>
    <row r="3" spans="2:29" ht="25.5" customHeight="1" x14ac:dyDescent="0.2">
      <c r="B3" s="137"/>
      <c r="C3" s="137"/>
      <c r="D3" s="137"/>
      <c r="E3" s="137"/>
      <c r="F3" s="137"/>
      <c r="G3" s="137"/>
      <c r="H3" s="137"/>
      <c r="I3" s="137"/>
      <c r="J3" s="137"/>
      <c r="K3" s="137"/>
      <c r="L3" s="137"/>
      <c r="M3" s="137"/>
      <c r="N3" s="137"/>
      <c r="O3" s="137"/>
      <c r="P3" s="137"/>
      <c r="Q3" s="137"/>
      <c r="R3" s="137"/>
      <c r="S3" s="137"/>
      <c r="T3" s="137"/>
      <c r="U3" s="30"/>
      <c r="V3" s="30"/>
      <c r="W3" s="30"/>
      <c r="X3"/>
      <c r="Y3" s="152"/>
      <c r="Z3" s="152"/>
      <c r="AA3"/>
    </row>
    <row r="4" spans="2:29" ht="25.5" customHeight="1" x14ac:dyDescent="0.2">
      <c r="B4" s="137"/>
      <c r="C4" s="137"/>
      <c r="D4" s="137"/>
      <c r="E4" s="137"/>
      <c r="F4" s="137"/>
      <c r="G4" s="137"/>
      <c r="H4" s="137"/>
      <c r="I4" s="137"/>
      <c r="J4" s="137"/>
      <c r="K4" s="137"/>
      <c r="L4" s="137"/>
      <c r="M4" s="137"/>
      <c r="N4" s="137"/>
      <c r="O4" s="137"/>
      <c r="P4" s="137"/>
      <c r="Q4" s="137"/>
      <c r="R4" s="137"/>
      <c r="S4" s="137"/>
      <c r="T4" s="137"/>
      <c r="U4" s="30"/>
      <c r="V4" s="30"/>
      <c r="W4" s="30"/>
      <c r="X4"/>
      <c r="Y4" s="152"/>
      <c r="Z4" s="152"/>
      <c r="AA4"/>
    </row>
    <row r="5" spans="2:29" s="24" customFormat="1" ht="7.5" customHeight="1" x14ac:dyDescent="0.35">
      <c r="B5" s="21"/>
      <c r="C5" s="28"/>
      <c r="D5" s="23"/>
      <c r="E5" s="23"/>
      <c r="F5" s="5"/>
      <c r="G5"/>
      <c r="H5" s="22"/>
      <c r="I5" s="22"/>
      <c r="J5" s="22"/>
      <c r="K5"/>
      <c r="L5"/>
      <c r="M5" s="2"/>
      <c r="N5" s="5"/>
      <c r="O5" s="22"/>
      <c r="P5" s="22"/>
      <c r="Q5" s="22"/>
      <c r="R5"/>
      <c r="S5"/>
      <c r="T5"/>
      <c r="U5"/>
      <c r="V5"/>
      <c r="W5" s="22"/>
      <c r="X5" s="22"/>
      <c r="Y5" s="22"/>
      <c r="Z5" s="22"/>
      <c r="AA5" s="7"/>
      <c r="AB5" s="23"/>
      <c r="AC5" s="23"/>
    </row>
    <row r="6" spans="2:29" s="24" customFormat="1" ht="9.75" customHeight="1" x14ac:dyDescent="0.35">
      <c r="B6" s="21"/>
      <c r="C6" s="7"/>
      <c r="D6" s="7"/>
      <c r="E6" s="7"/>
      <c r="F6" s="5"/>
      <c r="G6"/>
      <c r="H6" s="25"/>
      <c r="I6" s="25"/>
      <c r="J6" s="25"/>
      <c r="K6"/>
      <c r="L6"/>
      <c r="M6" s="2"/>
      <c r="N6" s="5"/>
      <c r="O6" s="25"/>
      <c r="P6" s="25"/>
      <c r="Q6" s="25"/>
      <c r="R6"/>
      <c r="S6"/>
      <c r="T6"/>
      <c r="U6"/>
      <c r="V6"/>
      <c r="W6"/>
      <c r="X6"/>
      <c r="Y6"/>
      <c r="Z6"/>
      <c r="AA6"/>
      <c r="AB6" s="23"/>
      <c r="AC6" s="23"/>
    </row>
    <row r="7" spans="2:29" ht="30" customHeight="1" x14ac:dyDescent="0.3">
      <c r="C7"/>
      <c r="D7" s="153" t="s">
        <v>74</v>
      </c>
      <c r="E7" s="153"/>
      <c r="F7" s="31" t="s">
        <v>75</v>
      </c>
      <c r="G7" s="153" t="s">
        <v>76</v>
      </c>
      <c r="H7" s="153"/>
      <c r="I7" s="153" t="s">
        <v>77</v>
      </c>
      <c r="J7" s="153"/>
      <c r="K7" s="32"/>
      <c r="L7" s="153" t="s">
        <v>74</v>
      </c>
      <c r="M7" s="153"/>
      <c r="N7" s="31" t="s">
        <v>75</v>
      </c>
      <c r="O7" s="153" t="s">
        <v>76</v>
      </c>
      <c r="P7" s="153"/>
      <c r="Q7" s="153" t="s">
        <v>77</v>
      </c>
      <c r="R7" s="153"/>
      <c r="S7"/>
      <c r="T7"/>
      <c r="U7"/>
      <c r="V7"/>
      <c r="W7"/>
      <c r="X7"/>
      <c r="Y7"/>
      <c r="Z7"/>
      <c r="AA7"/>
    </row>
    <row r="8" spans="2:29" ht="31.5" customHeight="1" x14ac:dyDescent="0.3">
      <c r="C8"/>
      <c r="D8" s="148" t="s">
        <v>194</v>
      </c>
      <c r="E8" s="149"/>
      <c r="F8" t="s">
        <v>78</v>
      </c>
      <c r="G8" s="142" t="s">
        <v>79</v>
      </c>
      <c r="H8" s="142"/>
      <c r="I8" s="146" t="s">
        <v>80</v>
      </c>
      <c r="J8" s="147"/>
      <c r="K8" s="10"/>
      <c r="L8" s="142" t="s">
        <v>81</v>
      </c>
      <c r="M8" s="142"/>
      <c r="N8" t="s">
        <v>141</v>
      </c>
      <c r="O8" s="138" t="s">
        <v>89</v>
      </c>
      <c r="P8" s="139"/>
      <c r="Q8" s="150" t="s">
        <v>142</v>
      </c>
      <c r="R8" s="151" t="s">
        <v>142</v>
      </c>
      <c r="S8" s="26"/>
      <c r="T8"/>
      <c r="U8"/>
      <c r="V8"/>
      <c r="W8"/>
      <c r="X8"/>
      <c r="Y8"/>
      <c r="Z8"/>
      <c r="AA8"/>
    </row>
    <row r="9" spans="2:29" ht="31.5" customHeight="1" x14ac:dyDescent="0.3">
      <c r="C9"/>
      <c r="D9" s="148" t="s">
        <v>87</v>
      </c>
      <c r="E9" s="149"/>
      <c r="F9" t="s">
        <v>88</v>
      </c>
      <c r="G9" s="142" t="s">
        <v>89</v>
      </c>
      <c r="H9" s="142"/>
      <c r="I9" s="146" t="s">
        <v>90</v>
      </c>
      <c r="J9" s="147"/>
      <c r="K9" s="10"/>
      <c r="L9" s="142" t="s">
        <v>81</v>
      </c>
      <c r="M9" s="142"/>
      <c r="N9" t="s">
        <v>147</v>
      </c>
      <c r="O9" s="138" t="s">
        <v>89</v>
      </c>
      <c r="P9" s="139"/>
      <c r="Q9" s="140" t="s">
        <v>148</v>
      </c>
      <c r="R9" s="141" t="s">
        <v>148</v>
      </c>
      <c r="S9" s="26"/>
      <c r="T9"/>
      <c r="U9"/>
      <c r="V9"/>
      <c r="W9"/>
      <c r="X9"/>
      <c r="Y9"/>
      <c r="Z9"/>
      <c r="AA9"/>
    </row>
    <row r="10" spans="2:29" ht="31.5" customHeight="1" x14ac:dyDescent="0.3">
      <c r="C10"/>
      <c r="D10" s="148" t="s">
        <v>87</v>
      </c>
      <c r="E10" s="149"/>
      <c r="F10" t="s">
        <v>96</v>
      </c>
      <c r="G10" s="142" t="s">
        <v>89</v>
      </c>
      <c r="H10" s="142"/>
      <c r="I10" s="146" t="s">
        <v>97</v>
      </c>
      <c r="J10" s="147"/>
      <c r="K10" s="10"/>
      <c r="L10" s="142" t="s">
        <v>81</v>
      </c>
      <c r="M10" s="142"/>
      <c r="N10" t="s">
        <v>153</v>
      </c>
      <c r="O10" s="138" t="s">
        <v>89</v>
      </c>
      <c r="P10" s="139"/>
      <c r="Q10" s="140" t="s">
        <v>154</v>
      </c>
      <c r="R10" s="141" t="s">
        <v>154</v>
      </c>
      <c r="S10" s="26"/>
      <c r="T10"/>
      <c r="U10"/>
      <c r="V10"/>
      <c r="W10"/>
      <c r="X10"/>
      <c r="Y10"/>
      <c r="Z10"/>
      <c r="AA10"/>
    </row>
    <row r="11" spans="2:29" ht="31.5" customHeight="1" x14ac:dyDescent="0.3">
      <c r="C11"/>
      <c r="D11" s="148" t="s">
        <v>87</v>
      </c>
      <c r="E11" s="149"/>
      <c r="F11" t="s">
        <v>103</v>
      </c>
      <c r="G11" s="142" t="s">
        <v>85</v>
      </c>
      <c r="H11" s="142"/>
      <c r="I11" s="146" t="s">
        <v>104</v>
      </c>
      <c r="J11" s="147"/>
      <c r="K11" s="10"/>
      <c r="L11" s="142" t="s">
        <v>160</v>
      </c>
      <c r="M11" s="142"/>
      <c r="N11" t="s">
        <v>161</v>
      </c>
      <c r="O11" s="142" t="s">
        <v>85</v>
      </c>
      <c r="P11" s="142"/>
      <c r="Q11" s="140" t="s">
        <v>162</v>
      </c>
      <c r="R11" s="141"/>
      <c r="S11" s="26"/>
      <c r="T11"/>
      <c r="U11"/>
      <c r="V11"/>
      <c r="W11"/>
      <c r="X11"/>
      <c r="Y11"/>
      <c r="Z11"/>
      <c r="AA11"/>
    </row>
    <row r="12" spans="2:29" ht="31.5" customHeight="1" x14ac:dyDescent="0.3">
      <c r="C12"/>
      <c r="D12" s="148" t="s">
        <v>87</v>
      </c>
      <c r="E12" s="149"/>
      <c r="F12" t="s">
        <v>111</v>
      </c>
      <c r="G12" s="142" t="s">
        <v>85</v>
      </c>
      <c r="H12" s="142"/>
      <c r="I12" s="146" t="s">
        <v>112</v>
      </c>
      <c r="J12" s="147"/>
      <c r="K12" s="10"/>
      <c r="L12" s="142" t="s">
        <v>160</v>
      </c>
      <c r="M12" s="142"/>
      <c r="N12" t="s">
        <v>167</v>
      </c>
      <c r="O12" s="142" t="s">
        <v>85</v>
      </c>
      <c r="P12" s="142"/>
      <c r="Q12" s="140" t="s">
        <v>168</v>
      </c>
      <c r="R12" s="141"/>
      <c r="S12" s="26"/>
      <c r="T12"/>
      <c r="U12"/>
      <c r="V12"/>
      <c r="W12"/>
      <c r="X12"/>
      <c r="Y12"/>
      <c r="Z12"/>
      <c r="AA12"/>
    </row>
    <row r="13" spans="2:29" ht="31.5" customHeight="1" x14ac:dyDescent="0.3">
      <c r="C13"/>
      <c r="D13" s="148" t="s">
        <v>118</v>
      </c>
      <c r="E13" s="149"/>
      <c r="F13" t="s">
        <v>119</v>
      </c>
      <c r="G13" s="142" t="s">
        <v>85</v>
      </c>
      <c r="H13" s="142"/>
      <c r="I13" s="146" t="s">
        <v>120</v>
      </c>
      <c r="J13" s="147"/>
      <c r="K13" s="10"/>
      <c r="L13" s="142" t="s">
        <v>160</v>
      </c>
      <c r="M13" s="142"/>
      <c r="N13" t="s">
        <v>173</v>
      </c>
      <c r="O13" s="142" t="s">
        <v>89</v>
      </c>
      <c r="P13" s="142"/>
      <c r="Q13" s="140" t="s">
        <v>174</v>
      </c>
      <c r="R13" s="141"/>
      <c r="S13" s="26"/>
      <c r="T13"/>
      <c r="U13"/>
      <c r="V13"/>
      <c r="W13"/>
      <c r="X13"/>
      <c r="Y13"/>
      <c r="Z13"/>
      <c r="AA13"/>
    </row>
    <row r="14" spans="2:29" ht="31.5" customHeight="1" x14ac:dyDescent="0.3">
      <c r="C14"/>
      <c r="D14" s="148" t="s">
        <v>118</v>
      </c>
      <c r="E14" s="149"/>
      <c r="F14" t="s">
        <v>126</v>
      </c>
      <c r="G14" s="142" t="s">
        <v>85</v>
      </c>
      <c r="H14" s="142"/>
      <c r="I14" s="146" t="s">
        <v>127</v>
      </c>
      <c r="J14" s="147"/>
      <c r="K14" s="10"/>
      <c r="L14" s="142" t="s">
        <v>179</v>
      </c>
      <c r="M14" s="142"/>
      <c r="N14" t="s">
        <v>180</v>
      </c>
      <c r="O14" s="138" t="s">
        <v>85</v>
      </c>
      <c r="P14" s="139"/>
      <c r="Q14" s="140" t="s">
        <v>181</v>
      </c>
      <c r="R14" s="141" t="s">
        <v>181</v>
      </c>
      <c r="S14" s="26"/>
      <c r="T14"/>
      <c r="U14"/>
      <c r="V14"/>
      <c r="W14"/>
      <c r="X14"/>
      <c r="Y14"/>
      <c r="Z14"/>
      <c r="AA14"/>
    </row>
    <row r="15" spans="2:29" ht="31.5" customHeight="1" x14ac:dyDescent="0.3">
      <c r="C15"/>
      <c r="D15" s="148" t="s">
        <v>131</v>
      </c>
      <c r="E15" s="149"/>
      <c r="F15" t="s">
        <v>132</v>
      </c>
      <c r="G15" s="142" t="s">
        <v>89</v>
      </c>
      <c r="H15" s="142"/>
      <c r="I15" s="146" t="s">
        <v>133</v>
      </c>
      <c r="J15" s="147"/>
      <c r="K15" s="10"/>
      <c r="L15" s="142" t="s">
        <v>179</v>
      </c>
      <c r="M15" s="142"/>
      <c r="N15" t="s">
        <v>186</v>
      </c>
      <c r="O15" s="138" t="s">
        <v>94</v>
      </c>
      <c r="P15" s="139"/>
      <c r="Q15" s="140" t="s">
        <v>187</v>
      </c>
      <c r="R15" s="141" t="s">
        <v>187</v>
      </c>
      <c r="S15" s="26"/>
      <c r="T15"/>
      <c r="U15"/>
      <c r="V15"/>
      <c r="W15"/>
      <c r="X15"/>
      <c r="Y15"/>
      <c r="Z15"/>
      <c r="AA15"/>
    </row>
    <row r="16" spans="2:29" ht="31.5" customHeight="1" x14ac:dyDescent="0.3">
      <c r="C16"/>
      <c r="D16" s="148" t="s">
        <v>118</v>
      </c>
      <c r="E16" s="149"/>
      <c r="F16" t="s">
        <v>139</v>
      </c>
      <c r="G16" s="142" t="s">
        <v>89</v>
      </c>
      <c r="H16" s="142"/>
      <c r="I16" s="146" t="s">
        <v>140</v>
      </c>
      <c r="J16" s="147"/>
      <c r="K16" s="10"/>
      <c r="L16" s="142" t="s">
        <v>179</v>
      </c>
      <c r="M16" s="142"/>
      <c r="N16" t="s">
        <v>192</v>
      </c>
      <c r="O16" s="138" t="s">
        <v>89</v>
      </c>
      <c r="P16" s="139"/>
      <c r="Q16" s="140" t="s">
        <v>193</v>
      </c>
      <c r="R16" s="141" t="s">
        <v>193</v>
      </c>
      <c r="S16" s="26"/>
      <c r="T16"/>
      <c r="U16"/>
      <c r="V16"/>
      <c r="W16"/>
      <c r="X16"/>
      <c r="Y16"/>
      <c r="Z16"/>
      <c r="AA16"/>
    </row>
    <row r="17" spans="3:27" ht="31.5" customHeight="1" x14ac:dyDescent="0.3">
      <c r="C17"/>
      <c r="D17" s="148" t="s">
        <v>118</v>
      </c>
      <c r="E17" s="149"/>
      <c r="F17" t="s">
        <v>145</v>
      </c>
      <c r="G17" s="142" t="s">
        <v>89</v>
      </c>
      <c r="H17" s="142"/>
      <c r="I17" s="146" t="s">
        <v>146</v>
      </c>
      <c r="J17" s="147"/>
      <c r="K17" s="10"/>
      <c r="L17" s="142" t="s">
        <v>83</v>
      </c>
      <c r="M17" s="142"/>
      <c r="N17" t="s">
        <v>84</v>
      </c>
      <c r="O17" s="138" t="s">
        <v>85</v>
      </c>
      <c r="P17" s="139"/>
      <c r="Q17" s="140" t="s">
        <v>86</v>
      </c>
      <c r="R17" s="141" t="s">
        <v>86</v>
      </c>
      <c r="S17" s="26"/>
      <c r="T17"/>
      <c r="U17"/>
      <c r="V17"/>
      <c r="W17"/>
      <c r="X17"/>
      <c r="Y17"/>
      <c r="Z17"/>
      <c r="AA17"/>
    </row>
    <row r="18" spans="3:27" ht="31.5" customHeight="1" x14ac:dyDescent="0.3">
      <c r="C18"/>
      <c r="D18" s="148" t="s">
        <v>118</v>
      </c>
      <c r="E18" s="149"/>
      <c r="F18" t="s">
        <v>151</v>
      </c>
      <c r="G18" s="142" t="s">
        <v>89</v>
      </c>
      <c r="H18" s="142"/>
      <c r="I18" s="146" t="s">
        <v>152</v>
      </c>
      <c r="J18" s="147"/>
      <c r="K18" s="10"/>
      <c r="L18" s="142" t="s">
        <v>83</v>
      </c>
      <c r="M18" s="142"/>
      <c r="N18" t="s">
        <v>93</v>
      </c>
      <c r="O18" s="138" t="s">
        <v>94</v>
      </c>
      <c r="P18" s="139"/>
      <c r="Q18" s="140" t="s">
        <v>95</v>
      </c>
      <c r="R18" s="141" t="s">
        <v>95</v>
      </c>
      <c r="S18" s="26"/>
      <c r="T18"/>
      <c r="U18"/>
      <c r="V18"/>
      <c r="W18"/>
      <c r="X18"/>
      <c r="Y18"/>
      <c r="Z18"/>
      <c r="AA18"/>
    </row>
    <row r="19" spans="3:27" ht="31.5" customHeight="1" x14ac:dyDescent="0.3">
      <c r="C19"/>
      <c r="D19" s="145" t="s">
        <v>81</v>
      </c>
      <c r="E19" s="145"/>
      <c r="F19" t="s">
        <v>158</v>
      </c>
      <c r="G19" s="142" t="s">
        <v>85</v>
      </c>
      <c r="H19" s="142"/>
      <c r="I19" s="146" t="s">
        <v>159</v>
      </c>
      <c r="J19" s="147"/>
      <c r="K19" s="10"/>
      <c r="L19" s="142" t="s">
        <v>83</v>
      </c>
      <c r="M19" s="142"/>
      <c r="N19" t="s">
        <v>101</v>
      </c>
      <c r="O19" s="138" t="s">
        <v>89</v>
      </c>
      <c r="P19" s="139"/>
      <c r="Q19" s="140" t="s">
        <v>102</v>
      </c>
      <c r="R19" s="141" t="s">
        <v>102</v>
      </c>
      <c r="S19" s="26"/>
      <c r="T19"/>
      <c r="U19"/>
      <c r="V19"/>
      <c r="W19"/>
      <c r="X19"/>
      <c r="Y19"/>
      <c r="Z19"/>
      <c r="AA19"/>
    </row>
    <row r="20" spans="3:27" ht="31.5" customHeight="1" x14ac:dyDescent="0.3">
      <c r="C20"/>
      <c r="D20" s="145" t="s">
        <v>81</v>
      </c>
      <c r="E20" s="145"/>
      <c r="F20" t="s">
        <v>165</v>
      </c>
      <c r="G20" s="142" t="s">
        <v>85</v>
      </c>
      <c r="H20" s="142"/>
      <c r="I20" s="146" t="s">
        <v>166</v>
      </c>
      <c r="J20" s="147"/>
      <c r="K20" s="10"/>
      <c r="L20" s="142" t="s">
        <v>107</v>
      </c>
      <c r="M20" s="142"/>
      <c r="N20" t="s">
        <v>108</v>
      </c>
      <c r="O20" s="138" t="s">
        <v>85</v>
      </c>
      <c r="P20" s="139"/>
      <c r="Q20" s="140" t="s">
        <v>109</v>
      </c>
      <c r="R20" s="141" t="s">
        <v>110</v>
      </c>
      <c r="S20" s="26"/>
      <c r="T20"/>
      <c r="U20"/>
      <c r="V20"/>
      <c r="W20"/>
      <c r="X20"/>
      <c r="Y20"/>
      <c r="Z20"/>
      <c r="AA20"/>
    </row>
    <row r="21" spans="3:27" ht="31.5" customHeight="1" x14ac:dyDescent="0.3">
      <c r="C21"/>
      <c r="D21" s="145" t="s">
        <v>81</v>
      </c>
      <c r="E21" s="145"/>
      <c r="F21" t="s">
        <v>171</v>
      </c>
      <c r="G21" s="142" t="s">
        <v>85</v>
      </c>
      <c r="H21" s="142"/>
      <c r="I21" s="146" t="s">
        <v>172</v>
      </c>
      <c r="J21" s="147"/>
      <c r="K21" s="10"/>
      <c r="L21" s="142" t="s">
        <v>107</v>
      </c>
      <c r="M21" s="142"/>
      <c r="N21" t="s">
        <v>115</v>
      </c>
      <c r="O21" s="138" t="s">
        <v>94</v>
      </c>
      <c r="P21" s="139"/>
      <c r="Q21" s="150" t="s">
        <v>116</v>
      </c>
      <c r="R21" s="151" t="s">
        <v>117</v>
      </c>
      <c r="S21" s="26"/>
      <c r="T21"/>
      <c r="U21"/>
      <c r="V21"/>
      <c r="W21"/>
      <c r="X21"/>
      <c r="Y21"/>
      <c r="Z21"/>
      <c r="AA21"/>
    </row>
    <row r="22" spans="3:27" ht="31.5" customHeight="1" x14ac:dyDescent="0.3">
      <c r="C22"/>
      <c r="D22" s="145" t="s">
        <v>81</v>
      </c>
      <c r="E22" s="145"/>
      <c r="F22" t="s">
        <v>177</v>
      </c>
      <c r="G22" s="142" t="s">
        <v>85</v>
      </c>
      <c r="H22" s="142"/>
      <c r="I22" s="146" t="s">
        <v>178</v>
      </c>
      <c r="J22" s="147"/>
      <c r="K22" s="33"/>
      <c r="L22" s="142" t="s">
        <v>124</v>
      </c>
      <c r="M22" s="142"/>
      <c r="N22" t="s">
        <v>119</v>
      </c>
      <c r="O22" s="138" t="s">
        <v>85</v>
      </c>
      <c r="P22" s="139"/>
      <c r="Q22" s="140" t="s">
        <v>125</v>
      </c>
      <c r="R22" s="141" t="s">
        <v>125</v>
      </c>
      <c r="S22" s="26"/>
      <c r="T22"/>
      <c r="U22"/>
      <c r="V22"/>
      <c r="W22"/>
      <c r="X22"/>
      <c r="Y22"/>
      <c r="Z22"/>
      <c r="AA22"/>
    </row>
    <row r="23" spans="3:27" ht="31.5" customHeight="1" x14ac:dyDescent="0.3">
      <c r="C23"/>
      <c r="D23" s="145" t="s">
        <v>81</v>
      </c>
      <c r="E23" s="145"/>
      <c r="F23" t="s">
        <v>184</v>
      </c>
      <c r="G23" s="138" t="s">
        <v>85</v>
      </c>
      <c r="H23" s="139"/>
      <c r="I23" s="146" t="s">
        <v>185</v>
      </c>
      <c r="J23" s="147"/>
      <c r="K23" s="33"/>
      <c r="L23" s="142" t="s">
        <v>124</v>
      </c>
      <c r="M23" s="142"/>
      <c r="N23" t="s">
        <v>126</v>
      </c>
      <c r="O23" s="138" t="s">
        <v>85</v>
      </c>
      <c r="P23" s="139"/>
      <c r="Q23" s="140" t="s">
        <v>130</v>
      </c>
      <c r="R23" s="141" t="s">
        <v>130</v>
      </c>
      <c r="S23" s="26"/>
      <c r="T23"/>
      <c r="U23"/>
      <c r="V23"/>
      <c r="W23"/>
      <c r="X23"/>
      <c r="Y23"/>
      <c r="Z23"/>
      <c r="AA23"/>
    </row>
    <row r="24" spans="3:27" ht="31.5" customHeight="1" x14ac:dyDescent="0.3">
      <c r="C24"/>
      <c r="D24" s="145" t="s">
        <v>81</v>
      </c>
      <c r="E24" s="145"/>
      <c r="F24" t="s">
        <v>191</v>
      </c>
      <c r="G24" s="138" t="s">
        <v>79</v>
      </c>
      <c r="H24" s="139"/>
      <c r="I24" s="146" t="s">
        <v>196</v>
      </c>
      <c r="J24" s="147"/>
      <c r="K24" s="33"/>
      <c r="L24" s="142" t="s">
        <v>136</v>
      </c>
      <c r="M24" s="142"/>
      <c r="N24" t="s">
        <v>137</v>
      </c>
      <c r="O24" s="138" t="s">
        <v>85</v>
      </c>
      <c r="P24" s="139"/>
      <c r="Q24" s="140" t="s">
        <v>138</v>
      </c>
      <c r="R24" s="141" t="s">
        <v>138</v>
      </c>
      <c r="S24" s="26"/>
      <c r="T24"/>
      <c r="U24"/>
      <c r="V24"/>
      <c r="W24"/>
      <c r="X24"/>
      <c r="Y24"/>
      <c r="Z24"/>
      <c r="AA24"/>
    </row>
    <row r="25" spans="3:27" ht="31.5" customHeight="1" x14ac:dyDescent="0.3">
      <c r="C25"/>
      <c r="D25" s="145" t="s">
        <v>81</v>
      </c>
      <c r="E25" s="145"/>
      <c r="F25" t="s">
        <v>82</v>
      </c>
      <c r="G25" s="138" t="s">
        <v>79</v>
      </c>
      <c r="H25" s="139"/>
      <c r="I25" s="146" t="s">
        <v>195</v>
      </c>
      <c r="J25" s="147"/>
      <c r="K25" s="33"/>
      <c r="L25" s="142" t="s">
        <v>197</v>
      </c>
      <c r="M25" s="142"/>
      <c r="N25" t="s">
        <v>143</v>
      </c>
      <c r="O25" s="138" t="s">
        <v>85</v>
      </c>
      <c r="P25" s="139"/>
      <c r="Q25" s="140" t="s">
        <v>144</v>
      </c>
      <c r="R25" s="141" t="s">
        <v>144</v>
      </c>
      <c r="S25"/>
      <c r="T25"/>
      <c r="U25"/>
      <c r="V25"/>
      <c r="W25"/>
      <c r="X25"/>
      <c r="Y25"/>
      <c r="Z25"/>
      <c r="AA25"/>
    </row>
    <row r="26" spans="3:27" ht="31.5" customHeight="1" x14ac:dyDescent="0.3">
      <c r="C26"/>
      <c r="D26" s="142" t="s">
        <v>81</v>
      </c>
      <c r="E26" s="142"/>
      <c r="F26" t="s">
        <v>91</v>
      </c>
      <c r="G26" s="138" t="s">
        <v>79</v>
      </c>
      <c r="H26" s="139"/>
      <c r="I26" s="143" t="s">
        <v>92</v>
      </c>
      <c r="J26" s="144"/>
      <c r="K26" s="33"/>
      <c r="L26" s="142" t="s">
        <v>197</v>
      </c>
      <c r="M26" s="142"/>
      <c r="N26" t="s">
        <v>149</v>
      </c>
      <c r="O26" s="138" t="s">
        <v>94</v>
      </c>
      <c r="P26" s="139"/>
      <c r="Q26" s="140" t="s">
        <v>150</v>
      </c>
      <c r="R26" s="141" t="s">
        <v>150</v>
      </c>
      <c r="S26"/>
      <c r="T26"/>
      <c r="U26"/>
      <c r="V26"/>
      <c r="W26"/>
      <c r="X26"/>
      <c r="Y26"/>
      <c r="Z26"/>
      <c r="AA26"/>
    </row>
    <row r="27" spans="3:27" ht="31.5" customHeight="1" x14ac:dyDescent="0.3">
      <c r="D27" s="142" t="s">
        <v>81</v>
      </c>
      <c r="E27" s="142"/>
      <c r="F27" t="s">
        <v>98</v>
      </c>
      <c r="G27" s="138" t="s">
        <v>79</v>
      </c>
      <c r="H27" s="139"/>
      <c r="I27" s="143" t="s">
        <v>99</v>
      </c>
      <c r="J27" s="144" t="s">
        <v>100</v>
      </c>
      <c r="K27" s="34"/>
      <c r="L27" s="142" t="s">
        <v>155</v>
      </c>
      <c r="M27" s="142"/>
      <c r="N27" t="s">
        <v>156</v>
      </c>
      <c r="O27" s="138" t="s">
        <v>85</v>
      </c>
      <c r="P27" s="139"/>
      <c r="Q27" s="143" t="s">
        <v>157</v>
      </c>
      <c r="R27" s="144"/>
      <c r="T27"/>
      <c r="U27"/>
      <c r="V27"/>
      <c r="W27"/>
      <c r="X27"/>
      <c r="Y27"/>
      <c r="Z27"/>
    </row>
    <row r="28" spans="3:27" ht="31.5" customHeight="1" x14ac:dyDescent="0.3">
      <c r="D28" s="142" t="s">
        <v>81</v>
      </c>
      <c r="E28" s="142"/>
      <c r="F28" t="s">
        <v>105</v>
      </c>
      <c r="G28" s="138" t="s">
        <v>89</v>
      </c>
      <c r="H28" s="139"/>
      <c r="I28" s="143" t="s">
        <v>106</v>
      </c>
      <c r="J28" s="144" t="s">
        <v>106</v>
      </c>
      <c r="K28" s="34"/>
      <c r="L28" s="142" t="s">
        <v>155</v>
      </c>
      <c r="M28" s="142"/>
      <c r="N28" t="s">
        <v>163</v>
      </c>
      <c r="O28" s="138" t="s">
        <v>94</v>
      </c>
      <c r="P28" s="139"/>
      <c r="Q28" s="140" t="s">
        <v>164</v>
      </c>
      <c r="R28" s="141"/>
      <c r="T28"/>
      <c r="U28"/>
      <c r="V28"/>
      <c r="W28"/>
      <c r="X28"/>
      <c r="Y28"/>
      <c r="Z28"/>
    </row>
    <row r="29" spans="3:27" ht="31.5" customHeight="1" x14ac:dyDescent="0.3">
      <c r="D29" s="142" t="s">
        <v>81</v>
      </c>
      <c r="E29" s="142"/>
      <c r="F29" t="s">
        <v>113</v>
      </c>
      <c r="G29" s="138" t="s">
        <v>89</v>
      </c>
      <c r="H29" s="139"/>
      <c r="I29" s="143" t="s">
        <v>114</v>
      </c>
      <c r="J29" s="144" t="s">
        <v>114</v>
      </c>
      <c r="K29" s="34"/>
      <c r="L29" s="142" t="s">
        <v>155</v>
      </c>
      <c r="M29" s="142"/>
      <c r="N29" t="s">
        <v>169</v>
      </c>
      <c r="O29" s="138" t="s">
        <v>89</v>
      </c>
      <c r="P29" s="139"/>
      <c r="Q29" s="140" t="s">
        <v>170</v>
      </c>
      <c r="R29" s="141"/>
      <c r="T29"/>
      <c r="U29"/>
      <c r="V29"/>
      <c r="W29"/>
      <c r="X29"/>
      <c r="Y29"/>
      <c r="Z29"/>
    </row>
    <row r="30" spans="3:27" ht="31.5" customHeight="1" x14ac:dyDescent="0.3">
      <c r="D30" s="142" t="s">
        <v>81</v>
      </c>
      <c r="E30" s="142"/>
      <c r="F30" t="s">
        <v>121</v>
      </c>
      <c r="G30" s="138" t="s">
        <v>89</v>
      </c>
      <c r="H30" s="139"/>
      <c r="I30" s="143" t="s">
        <v>122</v>
      </c>
      <c r="J30" s="144" t="s">
        <v>123</v>
      </c>
      <c r="K30" s="34"/>
      <c r="L30" s="142" t="s">
        <v>155</v>
      </c>
      <c r="M30" s="142"/>
      <c r="N30" t="s">
        <v>175</v>
      </c>
      <c r="O30" s="138" t="s">
        <v>89</v>
      </c>
      <c r="P30" s="139"/>
      <c r="Q30" s="140" t="s">
        <v>176</v>
      </c>
      <c r="R30" s="141"/>
      <c r="T30"/>
      <c r="U30"/>
      <c r="V30"/>
      <c r="W30"/>
      <c r="X30"/>
      <c r="Y30"/>
      <c r="Z30"/>
    </row>
    <row r="31" spans="3:27" ht="31.5" customHeight="1" x14ac:dyDescent="0.3">
      <c r="D31" s="142" t="s">
        <v>81</v>
      </c>
      <c r="E31" s="142"/>
      <c r="F31" t="s">
        <v>128</v>
      </c>
      <c r="G31" s="138" t="s">
        <v>89</v>
      </c>
      <c r="H31" s="139"/>
      <c r="I31" s="143" t="s">
        <v>129</v>
      </c>
      <c r="J31" s="144" t="s">
        <v>129</v>
      </c>
      <c r="K31" s="34"/>
      <c r="L31" s="142" t="s">
        <v>155</v>
      </c>
      <c r="M31" s="142"/>
      <c r="N31" t="s">
        <v>182</v>
      </c>
      <c r="O31" s="138" t="s">
        <v>89</v>
      </c>
      <c r="P31" s="139"/>
      <c r="Q31" s="140" t="s">
        <v>183</v>
      </c>
      <c r="R31" s="141"/>
    </row>
    <row r="32" spans="3:27" ht="31.5" customHeight="1" x14ac:dyDescent="0.3">
      <c r="D32" s="142" t="s">
        <v>81</v>
      </c>
      <c r="E32" s="142"/>
      <c r="F32" t="s">
        <v>134</v>
      </c>
      <c r="G32" s="138" t="s">
        <v>89</v>
      </c>
      <c r="H32" s="139"/>
      <c r="I32" s="143" t="s">
        <v>135</v>
      </c>
      <c r="J32" s="144" t="s">
        <v>135</v>
      </c>
      <c r="K32" s="34"/>
      <c r="L32" s="142" t="s">
        <v>188</v>
      </c>
      <c r="M32" s="142"/>
      <c r="N32" t="s">
        <v>189</v>
      </c>
      <c r="O32" s="138" t="s">
        <v>85</v>
      </c>
      <c r="P32" s="139"/>
      <c r="Q32" s="140" t="s">
        <v>190</v>
      </c>
      <c r="R32" s="141"/>
    </row>
    <row r="33" spans="4:18" x14ac:dyDescent="0.2">
      <c r="K33" s="27"/>
      <c r="L33"/>
      <c r="M33"/>
      <c r="N33"/>
      <c r="O33"/>
      <c r="P33"/>
      <c r="Q33"/>
      <c r="R33"/>
    </row>
    <row r="34" spans="4:18" ht="28.5" customHeight="1" x14ac:dyDescent="0.2">
      <c r="K34" s="27"/>
      <c r="L34"/>
      <c r="M34"/>
      <c r="N34"/>
      <c r="O34"/>
      <c r="P34"/>
      <c r="Q34"/>
      <c r="R34"/>
    </row>
    <row r="35" spans="4:18" ht="28.5" customHeight="1" x14ac:dyDescent="0.2">
      <c r="K35" s="27"/>
    </row>
    <row r="36" spans="4:18" ht="28.5" customHeight="1" x14ac:dyDescent="0.2">
      <c r="K36" s="27"/>
    </row>
    <row r="37" spans="4:18" ht="28.5" customHeight="1" x14ac:dyDescent="0.2">
      <c r="K37" s="27"/>
    </row>
    <row r="38" spans="4:18" ht="28.5" customHeight="1" x14ac:dyDescent="0.2">
      <c r="K38" s="27"/>
    </row>
    <row r="39" spans="4:18" ht="28.5" customHeight="1" x14ac:dyDescent="0.2">
      <c r="K39" s="27"/>
    </row>
    <row r="40" spans="4:18" ht="28.5" customHeight="1" x14ac:dyDescent="0.2">
      <c r="K40" s="27"/>
    </row>
    <row r="44" spans="4:18" x14ac:dyDescent="0.2">
      <c r="D44" s="136"/>
      <c r="E44" s="136"/>
      <c r="F44" s="136"/>
      <c r="G44" s="136"/>
    </row>
    <row r="45" spans="4:18" x14ac:dyDescent="0.2">
      <c r="D45" s="136"/>
      <c r="E45" s="136"/>
      <c r="F45" s="136"/>
      <c r="G45" s="136"/>
    </row>
    <row r="46" spans="4:18" x14ac:dyDescent="0.2">
      <c r="D46" s="136"/>
      <c r="E46" s="136"/>
      <c r="F46" s="136"/>
      <c r="G46" s="136"/>
    </row>
    <row r="47" spans="4:18" x14ac:dyDescent="0.2">
      <c r="D47" s="136"/>
      <c r="E47" s="136"/>
      <c r="F47" s="136"/>
      <c r="G47" s="136"/>
    </row>
    <row r="48" spans="4:18" x14ac:dyDescent="0.2">
      <c r="D48" s="136"/>
      <c r="E48" s="136"/>
      <c r="F48" s="136"/>
      <c r="G48" s="136"/>
    </row>
    <row r="49" spans="4:7" x14ac:dyDescent="0.2">
      <c r="D49" s="136"/>
      <c r="E49" s="136"/>
      <c r="F49" s="136"/>
      <c r="G49" s="136"/>
    </row>
    <row r="50" spans="4:7" x14ac:dyDescent="0.2">
      <c r="D50" s="136"/>
      <c r="E50" s="136"/>
      <c r="F50" s="136"/>
      <c r="G50" s="136"/>
    </row>
    <row r="51" spans="4:7" x14ac:dyDescent="0.2">
      <c r="D51" s="136"/>
      <c r="E51" s="136"/>
      <c r="F51" s="136"/>
      <c r="G51" s="136"/>
    </row>
    <row r="52" spans="4:7" x14ac:dyDescent="0.2">
      <c r="D52" s="136"/>
      <c r="E52" s="136"/>
      <c r="F52" s="136"/>
      <c r="G52" s="136"/>
    </row>
    <row r="53" spans="4:7" x14ac:dyDescent="0.2">
      <c r="D53" s="136"/>
      <c r="E53" s="136"/>
      <c r="F53" s="136"/>
      <c r="G53" s="136"/>
    </row>
    <row r="54" spans="4:7" x14ac:dyDescent="0.2">
      <c r="D54" s="136"/>
      <c r="E54" s="136"/>
      <c r="F54" s="136"/>
      <c r="G54" s="136"/>
    </row>
    <row r="55" spans="4:7" x14ac:dyDescent="0.2">
      <c r="D55" s="136"/>
      <c r="E55" s="136"/>
      <c r="F55" s="136"/>
      <c r="G55" s="136"/>
    </row>
    <row r="56" spans="4:7" x14ac:dyDescent="0.2">
      <c r="D56" s="136"/>
      <c r="E56" s="136"/>
    </row>
    <row r="57" spans="4:7" x14ac:dyDescent="0.2">
      <c r="D57" s="136"/>
      <c r="E57" s="136"/>
    </row>
  </sheetData>
  <protectedRanges>
    <protectedRange algorithmName="SHA-512" hashValue="c6azQzv/InXcBPG1FPoWHbTAuafVlBefpewq2YMYiVAJTFeBz5nu2potPGysVxE5ihC3/P0S260jJYXVHATFtA==" saltValue="fM8ymAHLxYuf7GeM/YvNvA==" spinCount="100000" sqref="C5:E5" name="Range1"/>
  </protectedRanges>
  <mergeCells count="184">
    <mergeCell ref="D13:E13"/>
    <mergeCell ref="G13:H13"/>
    <mergeCell ref="Y3:Z4"/>
    <mergeCell ref="D7:E7"/>
    <mergeCell ref="G7:H7"/>
    <mergeCell ref="I7:J7"/>
    <mergeCell ref="L7:M7"/>
    <mergeCell ref="O7:P7"/>
    <mergeCell ref="Q7:R7"/>
    <mergeCell ref="D9:E9"/>
    <mergeCell ref="G9:H9"/>
    <mergeCell ref="I9:J9"/>
    <mergeCell ref="L8:M8"/>
    <mergeCell ref="O8:P8"/>
    <mergeCell ref="Q8:R8"/>
    <mergeCell ref="D8:E8"/>
    <mergeCell ref="G8:H8"/>
    <mergeCell ref="I8:J8"/>
    <mergeCell ref="L10:M10"/>
    <mergeCell ref="O10:P10"/>
    <mergeCell ref="Q10:R10"/>
    <mergeCell ref="I13:J13"/>
    <mergeCell ref="L9:M9"/>
    <mergeCell ref="O9:P9"/>
    <mergeCell ref="I14:J14"/>
    <mergeCell ref="L14:M14"/>
    <mergeCell ref="O14:P14"/>
    <mergeCell ref="Q14:R14"/>
    <mergeCell ref="L25:M25"/>
    <mergeCell ref="O25:P25"/>
    <mergeCell ref="L23:M23"/>
    <mergeCell ref="O23:P23"/>
    <mergeCell ref="Q23:R23"/>
    <mergeCell ref="I23:J23"/>
    <mergeCell ref="I21:J21"/>
    <mergeCell ref="L22:M22"/>
    <mergeCell ref="O22:P22"/>
    <mergeCell ref="Q22:R22"/>
    <mergeCell ref="O20:P20"/>
    <mergeCell ref="Q20:R20"/>
    <mergeCell ref="L15:M15"/>
    <mergeCell ref="O15:P15"/>
    <mergeCell ref="Q15:R15"/>
    <mergeCell ref="L16:M16"/>
    <mergeCell ref="O16:P16"/>
    <mergeCell ref="Q16:R16"/>
    <mergeCell ref="Q17:R17"/>
    <mergeCell ref="O17:P17"/>
    <mergeCell ref="Q9:R9"/>
    <mergeCell ref="D11:E11"/>
    <mergeCell ref="G11:H11"/>
    <mergeCell ref="I11:J11"/>
    <mergeCell ref="D10:E10"/>
    <mergeCell ref="L11:M11"/>
    <mergeCell ref="O11:P11"/>
    <mergeCell ref="Q11:R11"/>
    <mergeCell ref="G10:H10"/>
    <mergeCell ref="I10:J10"/>
    <mergeCell ref="D16:E16"/>
    <mergeCell ref="G16:H16"/>
    <mergeCell ref="I16:J16"/>
    <mergeCell ref="D12:E12"/>
    <mergeCell ref="G12:H12"/>
    <mergeCell ref="I12:J12"/>
    <mergeCell ref="D25:E25"/>
    <mergeCell ref="G25:H25"/>
    <mergeCell ref="I25:J25"/>
    <mergeCell ref="D17:E17"/>
    <mergeCell ref="D18:E18"/>
    <mergeCell ref="G18:H18"/>
    <mergeCell ref="I18:J18"/>
    <mergeCell ref="G15:H15"/>
    <mergeCell ref="I15:J15"/>
    <mergeCell ref="D14:E14"/>
    <mergeCell ref="G14:H14"/>
    <mergeCell ref="G17:H17"/>
    <mergeCell ref="I17:J17"/>
    <mergeCell ref="D24:E24"/>
    <mergeCell ref="G24:H24"/>
    <mergeCell ref="I24:J24"/>
    <mergeCell ref="D23:E23"/>
    <mergeCell ref="G23:H23"/>
    <mergeCell ref="L12:M12"/>
    <mergeCell ref="O12:P12"/>
    <mergeCell ref="Q12:R12"/>
    <mergeCell ref="L13:M13"/>
    <mergeCell ref="L26:M26"/>
    <mergeCell ref="O26:P26"/>
    <mergeCell ref="Q26:R26"/>
    <mergeCell ref="O24:P24"/>
    <mergeCell ref="Q24:R24"/>
    <mergeCell ref="Q25:R25"/>
    <mergeCell ref="L24:M24"/>
    <mergeCell ref="Q21:R21"/>
    <mergeCell ref="L21:M21"/>
    <mergeCell ref="O21:P21"/>
    <mergeCell ref="L19:M19"/>
    <mergeCell ref="O19:P19"/>
    <mergeCell ref="Q19:R19"/>
    <mergeCell ref="L20:M20"/>
    <mergeCell ref="L18:M18"/>
    <mergeCell ref="O18:P18"/>
    <mergeCell ref="O13:P13"/>
    <mergeCell ref="Q13:R13"/>
    <mergeCell ref="Q18:R18"/>
    <mergeCell ref="L17:M17"/>
    <mergeCell ref="D15:E15"/>
    <mergeCell ref="L29:M29"/>
    <mergeCell ref="O29:P29"/>
    <mergeCell ref="L27:M27"/>
    <mergeCell ref="O27:P27"/>
    <mergeCell ref="Q27:R27"/>
    <mergeCell ref="D19:E19"/>
    <mergeCell ref="G19:H19"/>
    <mergeCell ref="I19:J19"/>
    <mergeCell ref="D29:E29"/>
    <mergeCell ref="G29:H29"/>
    <mergeCell ref="I29:J29"/>
    <mergeCell ref="D26:E26"/>
    <mergeCell ref="G26:H26"/>
    <mergeCell ref="I26:J26"/>
    <mergeCell ref="Q29:R29"/>
    <mergeCell ref="D21:E21"/>
    <mergeCell ref="G21:H21"/>
    <mergeCell ref="D27:E27"/>
    <mergeCell ref="G27:H27"/>
    <mergeCell ref="I27:J27"/>
    <mergeCell ref="O28:P28"/>
    <mergeCell ref="Q28:R28"/>
    <mergeCell ref="D20:E20"/>
    <mergeCell ref="G20:H20"/>
    <mergeCell ref="I20:J20"/>
    <mergeCell ref="L28:M28"/>
    <mergeCell ref="D32:E32"/>
    <mergeCell ref="G32:H32"/>
    <mergeCell ref="I32:J32"/>
    <mergeCell ref="D31:E31"/>
    <mergeCell ref="G31:H31"/>
    <mergeCell ref="I31:J31"/>
    <mergeCell ref="L30:M30"/>
    <mergeCell ref="O30:P30"/>
    <mergeCell ref="D28:E28"/>
    <mergeCell ref="G28:H28"/>
    <mergeCell ref="I28:J28"/>
    <mergeCell ref="Q30:R30"/>
    <mergeCell ref="D30:E30"/>
    <mergeCell ref="G30:H30"/>
    <mergeCell ref="I30:J30"/>
    <mergeCell ref="D22:E22"/>
    <mergeCell ref="G22:H22"/>
    <mergeCell ref="I22:J22"/>
    <mergeCell ref="F45:G45"/>
    <mergeCell ref="D46:E46"/>
    <mergeCell ref="F46:G46"/>
    <mergeCell ref="O32:P32"/>
    <mergeCell ref="Q32:R32"/>
    <mergeCell ref="L31:M31"/>
    <mergeCell ref="O31:P31"/>
    <mergeCell ref="Q31:R31"/>
    <mergeCell ref="L32:M32"/>
    <mergeCell ref="D56:E56"/>
    <mergeCell ref="D57:E57"/>
    <mergeCell ref="B2:T4"/>
    <mergeCell ref="D53:E53"/>
    <mergeCell ref="F53:G53"/>
    <mergeCell ref="D54:E54"/>
    <mergeCell ref="F54:G54"/>
    <mergeCell ref="D55:E55"/>
    <mergeCell ref="F55:G55"/>
    <mergeCell ref="D50:E50"/>
    <mergeCell ref="F50:G50"/>
    <mergeCell ref="D51:E51"/>
    <mergeCell ref="F51:G51"/>
    <mergeCell ref="D52:E52"/>
    <mergeCell ref="F52:G52"/>
    <mergeCell ref="D47:E47"/>
    <mergeCell ref="F47:G47"/>
    <mergeCell ref="D48:E48"/>
    <mergeCell ref="F48:G48"/>
    <mergeCell ref="D49:E49"/>
    <mergeCell ref="F49:G49"/>
    <mergeCell ref="D44:E44"/>
    <mergeCell ref="F44:G44"/>
    <mergeCell ref="D45:E45"/>
  </mergeCells>
  <phoneticPr fontId="17"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A770-997A-4BF5-9BAE-5EFCBEA2E07C}">
  <sheetPr codeName="Sheet2"/>
  <dimension ref="B1:T46"/>
  <sheetViews>
    <sheetView showGridLines="0" topLeftCell="A20" zoomScale="90" zoomScaleNormal="90" workbookViewId="0">
      <selection activeCell="B2" sqref="B2:R4"/>
    </sheetView>
  </sheetViews>
  <sheetFormatPr baseColWidth="10" defaultColWidth="8.83203125" defaultRowHeight="15" x14ac:dyDescent="0.2"/>
  <cols>
    <col min="1" max="1" width="2.6640625" customWidth="1"/>
    <col min="2" max="2" width="18.6640625" customWidth="1"/>
    <col min="3" max="3" width="61.6640625" customWidth="1"/>
    <col min="4" max="4" width="10.6640625" customWidth="1"/>
    <col min="5" max="5" width="17.6640625" customWidth="1"/>
    <col min="6" max="6" width="21.6640625" style="1" bestFit="1" customWidth="1"/>
    <col min="7" max="7" width="10.6640625" style="1" customWidth="1"/>
    <col min="8" max="17" width="14.6640625" style="1" customWidth="1"/>
    <col min="18" max="18" width="3.6640625" customWidth="1"/>
    <col min="20" max="20" width="0" hidden="1" customWidth="1"/>
  </cols>
  <sheetData>
    <row r="1" spans="2:20" ht="33.75" customHeight="1" x14ac:dyDescent="0.2"/>
    <row r="2" spans="2:20" ht="15" customHeight="1" x14ac:dyDescent="0.2">
      <c r="B2" s="162" t="s">
        <v>12</v>
      </c>
      <c r="C2" s="162"/>
      <c r="D2" s="162"/>
      <c r="E2" s="162"/>
      <c r="F2" s="162"/>
      <c r="G2" s="162"/>
      <c r="H2" s="162"/>
      <c r="I2" s="162"/>
      <c r="J2" s="162"/>
      <c r="K2" s="162"/>
      <c r="L2" s="162"/>
      <c r="M2" s="162"/>
      <c r="N2" s="162"/>
      <c r="O2" s="162"/>
      <c r="P2" s="162"/>
      <c r="Q2" s="162"/>
      <c r="R2" s="162"/>
    </row>
    <row r="3" spans="2:20" ht="15" customHeight="1" x14ac:dyDescent="0.2">
      <c r="B3" s="162"/>
      <c r="C3" s="162"/>
      <c r="D3" s="162"/>
      <c r="E3" s="162"/>
      <c r="F3" s="162"/>
      <c r="G3" s="162"/>
      <c r="H3" s="162"/>
      <c r="I3" s="162"/>
      <c r="J3" s="162"/>
      <c r="K3" s="162"/>
      <c r="L3" s="162"/>
      <c r="M3" s="162"/>
      <c r="N3" s="162"/>
      <c r="O3" s="162"/>
      <c r="P3" s="162"/>
      <c r="Q3" s="162"/>
      <c r="R3" s="162"/>
    </row>
    <row r="4" spans="2:20" ht="15" customHeight="1" x14ac:dyDescent="0.2">
      <c r="B4" s="162"/>
      <c r="C4" s="162"/>
      <c r="D4" s="162"/>
      <c r="E4" s="162"/>
      <c r="F4" s="162"/>
      <c r="G4" s="162"/>
      <c r="H4" s="162"/>
      <c r="I4" s="162"/>
      <c r="J4" s="162"/>
      <c r="K4" s="162"/>
      <c r="L4" s="162"/>
      <c r="M4" s="162"/>
      <c r="N4" s="162"/>
      <c r="O4" s="162"/>
      <c r="P4" s="162"/>
      <c r="Q4" s="162"/>
      <c r="R4" s="162"/>
    </row>
    <row r="5" spans="2:20" ht="42" customHeight="1" x14ac:dyDescent="0.45">
      <c r="C5" s="50">
        <v>0.71660879629629626</v>
      </c>
      <c r="H5" s="161" t="s">
        <v>270</v>
      </c>
      <c r="I5" s="161"/>
      <c r="J5" s="161"/>
    </row>
    <row r="6" spans="2:20" ht="26.25" customHeight="1" x14ac:dyDescent="0.2">
      <c r="C6" s="13" t="s">
        <v>9</v>
      </c>
      <c r="D6" s="14" t="s">
        <v>10</v>
      </c>
      <c r="E6" s="14" t="s">
        <v>13</v>
      </c>
      <c r="F6" s="75" t="s">
        <v>277</v>
      </c>
      <c r="G6" s="14" t="s">
        <v>226</v>
      </c>
      <c r="H6" s="154" t="s">
        <v>263</v>
      </c>
      <c r="I6" s="154"/>
      <c r="J6" s="154"/>
      <c r="K6" s="154"/>
      <c r="L6" s="154"/>
      <c r="M6" s="154"/>
      <c r="N6" s="154"/>
      <c r="O6" s="154"/>
      <c r="P6" s="154"/>
      <c r="Q6" s="154"/>
    </row>
    <row r="7" spans="2:20" ht="22" x14ac:dyDescent="0.3">
      <c r="C7" s="11" t="s">
        <v>1</v>
      </c>
      <c r="D7" s="39" t="b">
        <v>0</v>
      </c>
      <c r="E7" s="12" t="s">
        <v>14</v>
      </c>
      <c r="F7" s="96"/>
      <c r="G7" s="87"/>
      <c r="H7" s="44" t="s">
        <v>227</v>
      </c>
      <c r="I7" s="88"/>
      <c r="J7" s="45" t="s">
        <v>216</v>
      </c>
      <c r="K7" s="88"/>
      <c r="L7" s="45" t="s">
        <v>246</v>
      </c>
      <c r="M7" s="88"/>
      <c r="N7" s="47"/>
      <c r="O7" s="92"/>
      <c r="P7" s="47"/>
      <c r="Q7" s="92"/>
      <c r="T7">
        <f>IF(D7=TRUE, 1,0)</f>
        <v>0</v>
      </c>
    </row>
    <row r="8" spans="2:20" ht="22" x14ac:dyDescent="0.3">
      <c r="C8" s="11" t="s">
        <v>2</v>
      </c>
      <c r="D8" s="39" t="b">
        <v>1</v>
      </c>
      <c r="E8" s="12" t="s">
        <v>14</v>
      </c>
      <c r="F8" s="96">
        <v>45934.692002314812</v>
      </c>
      <c r="G8" s="87"/>
      <c r="H8" s="44" t="s">
        <v>227</v>
      </c>
      <c r="I8" s="88"/>
      <c r="J8" s="45" t="s">
        <v>216</v>
      </c>
      <c r="K8" s="88"/>
      <c r="L8" s="45" t="s">
        <v>246</v>
      </c>
      <c r="M8" s="88"/>
      <c r="N8" s="47"/>
      <c r="O8" s="92"/>
      <c r="P8" s="47"/>
      <c r="Q8" s="92"/>
      <c r="T8">
        <f t="shared" ref="T8:T25" si="0">IF(D8=TRUE, 1,0)</f>
        <v>1</v>
      </c>
    </row>
    <row r="9" spans="2:20" ht="22" x14ac:dyDescent="0.3">
      <c r="C9" s="11" t="s">
        <v>3</v>
      </c>
      <c r="D9" s="39" t="b">
        <v>1</v>
      </c>
      <c r="E9" s="12" t="s">
        <v>14</v>
      </c>
      <c r="F9" s="96">
        <v>45934.692013888889</v>
      </c>
      <c r="G9" s="87"/>
      <c r="H9" s="44" t="s">
        <v>227</v>
      </c>
      <c r="I9" s="88"/>
      <c r="J9" s="45" t="s">
        <v>216</v>
      </c>
      <c r="K9" s="88"/>
      <c r="L9" s="45" t="s">
        <v>246</v>
      </c>
      <c r="M9" s="88"/>
      <c r="N9" s="47"/>
      <c r="O9" s="92"/>
      <c r="P9" s="47"/>
      <c r="Q9" s="92"/>
      <c r="T9">
        <f t="shared" si="0"/>
        <v>1</v>
      </c>
    </row>
    <row r="10" spans="2:20" ht="22" x14ac:dyDescent="0.3">
      <c r="C10" s="18" t="s">
        <v>71</v>
      </c>
      <c r="D10" s="39" t="b">
        <v>1</v>
      </c>
      <c r="E10" s="12" t="s">
        <v>236</v>
      </c>
      <c r="F10" s="96">
        <v>45934.692013888889</v>
      </c>
      <c r="G10" s="87"/>
      <c r="H10" s="44" t="s">
        <v>212</v>
      </c>
      <c r="I10" s="89"/>
      <c r="J10" s="46" t="s">
        <v>213</v>
      </c>
      <c r="K10" s="88"/>
      <c r="L10" s="48"/>
      <c r="M10" s="92"/>
      <c r="N10" s="48"/>
      <c r="O10" s="92"/>
      <c r="P10" s="48"/>
      <c r="Q10" s="92"/>
      <c r="T10">
        <f t="shared" si="0"/>
        <v>1</v>
      </c>
    </row>
    <row r="11" spans="2:20" ht="22" x14ac:dyDescent="0.3">
      <c r="C11" s="11" t="s">
        <v>23</v>
      </c>
      <c r="D11" s="39" t="b">
        <v>1</v>
      </c>
      <c r="E11" s="12" t="s">
        <v>15</v>
      </c>
      <c r="F11" s="96">
        <v>45934.692025462966</v>
      </c>
      <c r="G11" s="87"/>
      <c r="H11" s="44" t="s">
        <v>233</v>
      </c>
      <c r="I11" s="88"/>
      <c r="J11" s="47"/>
      <c r="K11" s="90"/>
      <c r="L11" s="47"/>
      <c r="M11" s="92"/>
      <c r="N11" s="47"/>
      <c r="O11" s="92"/>
      <c r="P11" s="47"/>
      <c r="Q11" s="92"/>
      <c r="T11">
        <f t="shared" si="0"/>
        <v>1</v>
      </c>
    </row>
    <row r="12" spans="2:20" ht="22" x14ac:dyDescent="0.3">
      <c r="C12" s="11" t="s">
        <v>24</v>
      </c>
      <c r="D12" s="39" t="b">
        <v>0</v>
      </c>
      <c r="E12" s="12" t="s">
        <v>15</v>
      </c>
      <c r="F12" s="96"/>
      <c r="G12" s="87"/>
      <c r="H12" s="44" t="s">
        <v>233</v>
      </c>
      <c r="I12" s="79"/>
      <c r="J12" s="51"/>
      <c r="K12" s="90"/>
      <c r="L12" s="47"/>
      <c r="M12" s="92"/>
      <c r="N12" s="47"/>
      <c r="O12" s="92"/>
      <c r="P12" s="47"/>
      <c r="Q12" s="92"/>
      <c r="T12">
        <f t="shared" si="0"/>
        <v>0</v>
      </c>
    </row>
    <row r="13" spans="2:20" ht="20" x14ac:dyDescent="0.25">
      <c r="C13" s="41" t="s">
        <v>200</v>
      </c>
      <c r="D13" s="39" t="b">
        <v>1</v>
      </c>
      <c r="E13" s="12" t="s">
        <v>15</v>
      </c>
      <c r="F13" s="96">
        <v>45934.692037037035</v>
      </c>
      <c r="G13" s="87"/>
      <c r="H13" s="44" t="s">
        <v>212</v>
      </c>
      <c r="I13" s="89"/>
      <c r="J13" s="45" t="s">
        <v>213</v>
      </c>
      <c r="K13" s="88"/>
      <c r="L13" s="47"/>
      <c r="M13" s="92"/>
      <c r="N13" s="47"/>
      <c r="O13" s="92"/>
      <c r="P13" s="47"/>
      <c r="Q13" s="90"/>
      <c r="T13">
        <f t="shared" si="0"/>
        <v>1</v>
      </c>
    </row>
    <row r="14" spans="2:20" ht="20" x14ac:dyDescent="0.25">
      <c r="C14" s="41" t="s">
        <v>225</v>
      </c>
      <c r="D14" s="39" t="b">
        <v>0</v>
      </c>
      <c r="E14" s="12" t="s">
        <v>15</v>
      </c>
      <c r="F14" s="96"/>
      <c r="G14" s="87"/>
      <c r="H14" s="45" t="s">
        <v>224</v>
      </c>
      <c r="I14" s="79"/>
      <c r="J14" s="45" t="s">
        <v>228</v>
      </c>
      <c r="K14" s="79"/>
      <c r="L14" s="45" t="s">
        <v>229</v>
      </c>
      <c r="M14" s="79"/>
      <c r="N14" s="45" t="s">
        <v>230</v>
      </c>
      <c r="O14" s="79"/>
      <c r="P14" s="45" t="s">
        <v>231</v>
      </c>
      <c r="Q14" s="79"/>
      <c r="T14">
        <f t="shared" si="0"/>
        <v>0</v>
      </c>
    </row>
    <row r="15" spans="2:20" ht="22" x14ac:dyDescent="0.3">
      <c r="C15" s="11" t="s">
        <v>201</v>
      </c>
      <c r="D15" s="39" t="b">
        <v>1</v>
      </c>
      <c r="E15" s="12" t="s">
        <v>15</v>
      </c>
      <c r="F15" s="96">
        <v>45934.692048611112</v>
      </c>
      <c r="G15" s="87"/>
      <c r="H15" s="45" t="s">
        <v>212</v>
      </c>
      <c r="I15" s="79"/>
      <c r="J15" s="45" t="s">
        <v>213</v>
      </c>
      <c r="K15" s="79"/>
      <c r="L15" s="45" t="s">
        <v>232</v>
      </c>
      <c r="M15" s="79"/>
      <c r="N15" s="47"/>
      <c r="O15" s="91"/>
      <c r="P15" s="47"/>
      <c r="Q15" s="91"/>
      <c r="T15">
        <f t="shared" si="0"/>
        <v>1</v>
      </c>
    </row>
    <row r="16" spans="2:20" ht="22" x14ac:dyDescent="0.3">
      <c r="C16" s="11" t="s">
        <v>202</v>
      </c>
      <c r="D16" s="39" t="b">
        <v>0</v>
      </c>
      <c r="E16" s="12" t="s">
        <v>15</v>
      </c>
      <c r="F16" s="96">
        <v>45934.692060185182</v>
      </c>
      <c r="G16" s="87"/>
      <c r="H16" s="45" t="s">
        <v>224</v>
      </c>
      <c r="I16" s="79"/>
      <c r="J16" s="45" t="s">
        <v>228</v>
      </c>
      <c r="K16" s="79"/>
      <c r="L16" s="45" t="s">
        <v>229</v>
      </c>
      <c r="M16" s="79"/>
      <c r="N16" s="45" t="s">
        <v>230</v>
      </c>
      <c r="O16" s="79"/>
      <c r="P16" s="45" t="s">
        <v>231</v>
      </c>
      <c r="Q16" s="79"/>
      <c r="T16">
        <f t="shared" si="0"/>
        <v>0</v>
      </c>
    </row>
    <row r="17" spans="3:20" ht="22" x14ac:dyDescent="0.3">
      <c r="C17" s="11" t="s">
        <v>203</v>
      </c>
      <c r="D17" s="39" t="b">
        <v>1</v>
      </c>
      <c r="E17" s="12" t="s">
        <v>15</v>
      </c>
      <c r="F17" s="96">
        <v>45934.692083333335</v>
      </c>
      <c r="G17" s="87"/>
      <c r="H17" s="45" t="s">
        <v>224</v>
      </c>
      <c r="I17" s="79"/>
      <c r="J17" s="45" t="s">
        <v>228</v>
      </c>
      <c r="K17" s="79"/>
      <c r="L17" s="45" t="s">
        <v>229</v>
      </c>
      <c r="M17" s="79"/>
      <c r="N17" s="45" t="s">
        <v>230</v>
      </c>
      <c r="O17" s="79"/>
      <c r="P17" s="45" t="s">
        <v>231</v>
      </c>
      <c r="Q17" s="79"/>
      <c r="T17">
        <f t="shared" si="0"/>
        <v>1</v>
      </c>
    </row>
    <row r="18" spans="3:20" ht="22" x14ac:dyDescent="0.3">
      <c r="C18" s="11" t="s">
        <v>204</v>
      </c>
      <c r="D18" s="39" t="b">
        <v>1</v>
      </c>
      <c r="E18" s="12" t="s">
        <v>15</v>
      </c>
      <c r="F18" s="96">
        <v>45934.692071759258</v>
      </c>
      <c r="G18" s="87"/>
      <c r="H18" s="45" t="s">
        <v>212</v>
      </c>
      <c r="I18" s="79"/>
      <c r="J18" s="45" t="s">
        <v>213</v>
      </c>
      <c r="K18" s="79"/>
      <c r="L18" s="47"/>
      <c r="M18" s="91"/>
      <c r="N18" s="47"/>
      <c r="O18" s="91"/>
      <c r="P18" s="47"/>
      <c r="Q18" s="91"/>
      <c r="T18">
        <f t="shared" si="0"/>
        <v>1</v>
      </c>
    </row>
    <row r="19" spans="3:20" ht="22" x14ac:dyDescent="0.3">
      <c r="C19" s="11" t="s">
        <v>205</v>
      </c>
      <c r="D19" s="39" t="b">
        <v>0</v>
      </c>
      <c r="E19" s="12" t="s">
        <v>15</v>
      </c>
      <c r="F19" s="96"/>
      <c r="G19" s="87"/>
      <c r="H19" s="45" t="s">
        <v>212</v>
      </c>
      <c r="I19" s="79"/>
      <c r="J19" s="45" t="s">
        <v>213</v>
      </c>
      <c r="K19" s="79"/>
      <c r="L19" s="47"/>
      <c r="M19" s="91"/>
      <c r="N19" s="47"/>
      <c r="O19" s="91"/>
      <c r="P19" s="47"/>
      <c r="Q19" s="91"/>
      <c r="T19">
        <f t="shared" si="0"/>
        <v>0</v>
      </c>
    </row>
    <row r="20" spans="3:20" ht="22" x14ac:dyDescent="0.3">
      <c r="C20" s="11" t="s">
        <v>206</v>
      </c>
      <c r="D20" s="39" t="b">
        <v>1</v>
      </c>
      <c r="E20" s="12" t="s">
        <v>15</v>
      </c>
      <c r="F20" s="96">
        <v>45934.692094907405</v>
      </c>
      <c r="G20" s="87"/>
      <c r="H20" s="45" t="s">
        <v>212</v>
      </c>
      <c r="I20" s="79"/>
      <c r="J20" s="45" t="s">
        <v>213</v>
      </c>
      <c r="K20" s="79"/>
      <c r="L20" s="47"/>
      <c r="M20" s="91"/>
      <c r="N20" s="47"/>
      <c r="O20" s="91"/>
      <c r="P20" s="47"/>
      <c r="Q20" s="91"/>
      <c r="T20">
        <f t="shared" si="0"/>
        <v>1</v>
      </c>
    </row>
    <row r="21" spans="3:20" ht="22" x14ac:dyDescent="0.3">
      <c r="C21" s="11" t="s">
        <v>4</v>
      </c>
      <c r="D21" s="39" t="b">
        <v>1</v>
      </c>
      <c r="E21" s="12" t="s">
        <v>15</v>
      </c>
      <c r="F21" s="96">
        <v>45934.692094907405</v>
      </c>
      <c r="G21" s="87"/>
      <c r="H21" s="45" t="s">
        <v>238</v>
      </c>
      <c r="I21" s="79"/>
      <c r="J21" s="45" t="s">
        <v>237</v>
      </c>
      <c r="K21" s="79"/>
      <c r="L21" s="47"/>
      <c r="M21" s="91"/>
      <c r="N21" s="47"/>
      <c r="O21" s="91"/>
      <c r="P21" s="47"/>
      <c r="Q21" s="91"/>
      <c r="T21">
        <f t="shared" si="0"/>
        <v>1</v>
      </c>
    </row>
    <row r="22" spans="3:20" ht="22" x14ac:dyDescent="0.3">
      <c r="C22" s="11" t="s">
        <v>5</v>
      </c>
      <c r="D22" s="39" t="b">
        <v>1</v>
      </c>
      <c r="E22" s="12" t="s">
        <v>15</v>
      </c>
      <c r="F22" s="96">
        <v>45934.692106481481</v>
      </c>
      <c r="G22" s="87"/>
      <c r="H22" s="45" t="s">
        <v>239</v>
      </c>
      <c r="I22" s="79"/>
      <c r="J22" s="53"/>
      <c r="K22" s="85"/>
      <c r="L22" s="49"/>
      <c r="M22" s="91"/>
      <c r="N22" s="49"/>
      <c r="O22" s="91"/>
      <c r="P22" s="49"/>
      <c r="Q22" s="91"/>
      <c r="T22">
        <f t="shared" si="0"/>
        <v>1</v>
      </c>
    </row>
    <row r="23" spans="3:20" ht="22" x14ac:dyDescent="0.3">
      <c r="C23" s="11" t="s">
        <v>6</v>
      </c>
      <c r="D23" s="39" t="b">
        <v>0</v>
      </c>
      <c r="E23" s="12" t="s">
        <v>15</v>
      </c>
      <c r="F23" s="96"/>
      <c r="G23" s="87"/>
      <c r="H23" s="45" t="s">
        <v>239</v>
      </c>
      <c r="I23" s="79"/>
      <c r="J23" s="53"/>
      <c r="K23" s="85"/>
      <c r="L23" s="49"/>
      <c r="M23" s="91"/>
      <c r="N23" s="49"/>
      <c r="O23" s="91"/>
      <c r="P23" s="49"/>
      <c r="Q23" s="91"/>
      <c r="T23">
        <f t="shared" si="0"/>
        <v>0</v>
      </c>
    </row>
    <row r="24" spans="3:20" ht="24" x14ac:dyDescent="0.3">
      <c r="C24" s="93" t="s">
        <v>7</v>
      </c>
      <c r="D24" s="39" t="b">
        <v>1</v>
      </c>
      <c r="E24" s="12" t="s">
        <v>15</v>
      </c>
      <c r="F24" s="96">
        <v>45934.692118055558</v>
      </c>
      <c r="G24" s="87"/>
      <c r="H24" s="45" t="s">
        <v>233</v>
      </c>
      <c r="I24" s="79"/>
      <c r="J24" s="47"/>
      <c r="K24" s="91"/>
      <c r="L24" s="47"/>
      <c r="M24" s="91"/>
      <c r="N24" s="47"/>
      <c r="O24" s="91"/>
      <c r="P24" s="47"/>
      <c r="Q24" s="91"/>
      <c r="T24">
        <f t="shared" si="0"/>
        <v>1</v>
      </c>
    </row>
    <row r="25" spans="3:20" ht="22" x14ac:dyDescent="0.3">
      <c r="C25" s="11" t="s">
        <v>8</v>
      </c>
      <c r="D25" s="39" t="b">
        <v>1</v>
      </c>
      <c r="E25" s="12" t="s">
        <v>15</v>
      </c>
      <c r="F25" s="96">
        <v>45934.692118055558</v>
      </c>
      <c r="G25" s="87"/>
      <c r="H25" s="45" t="s">
        <v>241</v>
      </c>
      <c r="I25" s="79"/>
      <c r="J25" s="45" t="s">
        <v>242</v>
      </c>
      <c r="K25" s="79"/>
      <c r="L25" s="45" t="s">
        <v>243</v>
      </c>
      <c r="M25" s="79"/>
      <c r="N25" s="45" t="s">
        <v>244</v>
      </c>
      <c r="O25" s="79"/>
      <c r="P25" s="49"/>
      <c r="Q25" s="91"/>
      <c r="T25">
        <f t="shared" si="0"/>
        <v>1</v>
      </c>
    </row>
    <row r="26" spans="3:20" ht="20" thickBot="1" x14ac:dyDescent="0.3">
      <c r="D26" s="6" t="b">
        <v>0</v>
      </c>
      <c r="E26" s="16"/>
      <c r="F26" s="40"/>
    </row>
    <row r="27" spans="3:20" ht="15" customHeight="1" x14ac:dyDescent="0.2">
      <c r="C27" s="155">
        <f>IFERROR(COUNTIF(D7:D25, TRUE)/COUNTA(D7:D25), 0)</f>
        <v>0.68421052631578949</v>
      </c>
      <c r="D27" s="156"/>
      <c r="E27" s="156"/>
      <c r="F27" s="156"/>
      <c r="G27" s="156"/>
      <c r="H27" s="156"/>
      <c r="I27" s="156"/>
      <c r="J27" s="156"/>
      <c r="K27" s="156"/>
      <c r="L27" s="156"/>
      <c r="M27" s="156"/>
      <c r="N27" s="156"/>
      <c r="O27" s="156"/>
      <c r="P27" s="156"/>
      <c r="Q27" s="157"/>
    </row>
    <row r="28" spans="3:20" ht="15" customHeight="1" thickBot="1" x14ac:dyDescent="0.25">
      <c r="C28" s="158"/>
      <c r="D28" s="159"/>
      <c r="E28" s="159"/>
      <c r="F28" s="159"/>
      <c r="G28" s="159"/>
      <c r="H28" s="159"/>
      <c r="I28" s="159"/>
      <c r="J28" s="159"/>
      <c r="K28" s="159"/>
      <c r="L28" s="159"/>
      <c r="M28" s="159"/>
      <c r="N28" s="159"/>
      <c r="O28" s="159"/>
      <c r="P28" s="159"/>
      <c r="Q28" s="160"/>
    </row>
    <row r="29" spans="3:20" x14ac:dyDescent="0.2">
      <c r="C29" s="42"/>
      <c r="D29" s="42"/>
      <c r="E29" s="42"/>
      <c r="F29" s="43"/>
      <c r="G29" s="43"/>
      <c r="H29" s="43"/>
      <c r="I29" s="43"/>
      <c r="J29" s="43"/>
      <c r="K29" s="43"/>
      <c r="L29" s="43"/>
      <c r="M29" s="43"/>
      <c r="N29" s="43"/>
      <c r="O29" s="43"/>
      <c r="P29" s="43"/>
      <c r="Q29" s="43"/>
    </row>
    <row r="34" spans="5:16" x14ac:dyDescent="0.2">
      <c r="E34" s="72"/>
      <c r="F34" s="73"/>
      <c r="G34" s="73"/>
      <c r="H34" s="73"/>
      <c r="I34" s="73"/>
      <c r="J34" s="73"/>
      <c r="K34" s="73"/>
      <c r="L34" s="73"/>
      <c r="M34" s="73"/>
      <c r="N34" s="73"/>
      <c r="O34" s="73"/>
      <c r="P34" s="73"/>
    </row>
    <row r="35" spans="5:16" x14ac:dyDescent="0.2">
      <c r="E35" s="72"/>
      <c r="F35" s="73"/>
      <c r="G35" s="73"/>
      <c r="H35" s="73"/>
      <c r="I35" s="73"/>
      <c r="J35" s="73"/>
      <c r="K35" s="73"/>
      <c r="L35" s="73"/>
      <c r="M35" s="73"/>
      <c r="N35" s="73"/>
      <c r="O35" s="73"/>
      <c r="P35" s="73"/>
    </row>
    <row r="36" spans="5:16" x14ac:dyDescent="0.2">
      <c r="E36" s="72"/>
      <c r="F36" s="73"/>
      <c r="G36" s="73"/>
      <c r="H36" s="73"/>
      <c r="I36" s="73"/>
      <c r="J36" s="73"/>
      <c r="K36" s="73"/>
      <c r="L36" s="73"/>
      <c r="M36" s="73"/>
      <c r="N36" s="73"/>
      <c r="O36" s="73"/>
      <c r="P36" s="73"/>
    </row>
    <row r="37" spans="5:16" x14ac:dyDescent="0.2">
      <c r="E37" s="72"/>
      <c r="F37" s="73"/>
      <c r="G37" s="73" t="s">
        <v>217</v>
      </c>
      <c r="H37" s="73" t="s">
        <v>10</v>
      </c>
      <c r="I37" s="73" t="s">
        <v>234</v>
      </c>
      <c r="J37" s="73" t="s">
        <v>220</v>
      </c>
      <c r="K37" s="73" t="s">
        <v>240</v>
      </c>
      <c r="L37" s="73" t="s">
        <v>214</v>
      </c>
      <c r="M37" s="73" t="s">
        <v>251</v>
      </c>
      <c r="N37" s="73" t="s">
        <v>240</v>
      </c>
      <c r="O37" s="73"/>
      <c r="P37" s="73"/>
    </row>
    <row r="38" spans="5:16" x14ac:dyDescent="0.2">
      <c r="E38" s="72"/>
      <c r="F38" s="73"/>
      <c r="G38" s="73" t="s">
        <v>218</v>
      </c>
      <c r="H38" s="73" t="s">
        <v>219</v>
      </c>
      <c r="I38" s="73" t="s">
        <v>235</v>
      </c>
      <c r="J38" s="73" t="s">
        <v>222</v>
      </c>
      <c r="K38" s="73" t="s">
        <v>245</v>
      </c>
      <c r="L38" s="73" t="s">
        <v>215</v>
      </c>
      <c r="M38" s="73" t="s">
        <v>252</v>
      </c>
      <c r="N38" s="73" t="s">
        <v>253</v>
      </c>
      <c r="O38" s="73"/>
      <c r="P38" s="73"/>
    </row>
    <row r="39" spans="5:16" x14ac:dyDescent="0.2">
      <c r="E39" s="72"/>
      <c r="F39" s="73"/>
      <c r="G39" s="73"/>
      <c r="H39" s="73"/>
      <c r="I39" s="73"/>
      <c r="J39" s="73" t="s">
        <v>221</v>
      </c>
      <c r="K39" s="73"/>
      <c r="L39" s="73" t="s">
        <v>247</v>
      </c>
      <c r="M39" s="73"/>
      <c r="N39" s="73" t="s">
        <v>254</v>
      </c>
      <c r="O39" s="73"/>
      <c r="P39" s="73"/>
    </row>
    <row r="40" spans="5:16" x14ac:dyDescent="0.2">
      <c r="E40" s="72"/>
      <c r="F40" s="73"/>
      <c r="G40" s="73"/>
      <c r="H40" s="73"/>
      <c r="I40" s="73"/>
      <c r="J40" s="73" t="s">
        <v>223</v>
      </c>
      <c r="K40" s="73"/>
      <c r="L40" s="73" t="s">
        <v>248</v>
      </c>
      <c r="M40" s="73"/>
      <c r="N40" s="73" t="s">
        <v>255</v>
      </c>
      <c r="O40" s="73"/>
      <c r="P40" s="73"/>
    </row>
    <row r="41" spans="5:16" x14ac:dyDescent="0.2">
      <c r="E41" s="72"/>
      <c r="F41" s="73"/>
      <c r="G41" s="73"/>
      <c r="H41" s="73"/>
      <c r="I41" s="73"/>
      <c r="J41" s="73"/>
      <c r="K41" s="73"/>
      <c r="L41" s="73" t="s">
        <v>249</v>
      </c>
      <c r="M41" s="73"/>
      <c r="N41" s="73"/>
      <c r="O41" s="73"/>
      <c r="P41" s="73"/>
    </row>
    <row r="42" spans="5:16" x14ac:dyDescent="0.2">
      <c r="E42" s="72"/>
      <c r="F42" s="73"/>
      <c r="G42" s="73"/>
      <c r="H42" s="73"/>
      <c r="I42" s="73"/>
      <c r="J42" s="73"/>
      <c r="K42" s="73"/>
      <c r="L42" s="73" t="s">
        <v>250</v>
      </c>
      <c r="M42" s="73"/>
      <c r="N42" s="73"/>
      <c r="O42" s="73"/>
      <c r="P42" s="73"/>
    </row>
    <row r="43" spans="5:16" x14ac:dyDescent="0.2">
      <c r="E43" s="72"/>
      <c r="F43" s="73"/>
      <c r="G43" s="73"/>
      <c r="H43" s="73"/>
      <c r="I43" s="73"/>
      <c r="J43" s="73"/>
      <c r="K43" s="73"/>
      <c r="L43" s="73"/>
      <c r="M43" s="73"/>
      <c r="N43" s="73"/>
      <c r="O43" s="73"/>
      <c r="P43" s="73"/>
    </row>
    <row r="44" spans="5:16" x14ac:dyDescent="0.2">
      <c r="E44" s="72"/>
      <c r="F44" s="73"/>
      <c r="G44" s="73"/>
      <c r="H44" s="73"/>
      <c r="I44" s="73"/>
      <c r="J44" s="73"/>
      <c r="K44" s="73"/>
      <c r="L44" s="73"/>
      <c r="M44" s="73"/>
      <c r="N44" s="73"/>
      <c r="O44" s="73"/>
      <c r="P44" s="73"/>
    </row>
    <row r="45" spans="5:16" x14ac:dyDescent="0.2">
      <c r="E45" s="72"/>
      <c r="F45" s="73"/>
      <c r="G45" s="73"/>
      <c r="H45" s="73"/>
      <c r="I45" s="73"/>
      <c r="J45" s="73"/>
      <c r="K45" s="73"/>
      <c r="L45" s="73"/>
      <c r="M45" s="73"/>
      <c r="N45" s="73"/>
      <c r="O45" s="73"/>
      <c r="P45" s="73"/>
    </row>
    <row r="46" spans="5:16" x14ac:dyDescent="0.2">
      <c r="E46" s="72"/>
      <c r="F46" s="73"/>
      <c r="G46" s="73"/>
      <c r="H46" s="73"/>
      <c r="I46" s="73"/>
      <c r="J46" s="73"/>
      <c r="K46" s="73"/>
      <c r="L46" s="73"/>
      <c r="M46" s="73"/>
      <c r="N46" s="73"/>
      <c r="O46" s="73"/>
      <c r="P46" s="73"/>
    </row>
  </sheetData>
  <mergeCells count="4">
    <mergeCell ref="H6:Q6"/>
    <mergeCell ref="C27:Q28"/>
    <mergeCell ref="H5:J5"/>
    <mergeCell ref="B2:R4"/>
  </mergeCells>
  <phoneticPr fontId="17" type="noConversion"/>
  <conditionalFormatting sqref="C7">
    <cfRule type="expression" dxfId="153" priority="19">
      <formula>$D$7=FALSE</formula>
    </cfRule>
    <cfRule type="expression" dxfId="152" priority="67">
      <formula>$D$7=TRUE</formula>
    </cfRule>
  </conditionalFormatting>
  <conditionalFormatting sqref="C8">
    <cfRule type="expression" dxfId="151" priority="18">
      <formula>$D$8=FALSE</formula>
    </cfRule>
    <cfRule type="expression" dxfId="150" priority="64">
      <formula>$D$8=TRUE</formula>
    </cfRule>
  </conditionalFormatting>
  <conditionalFormatting sqref="C9">
    <cfRule type="expression" dxfId="149" priority="17">
      <formula>$D$9=FALSE</formula>
    </cfRule>
    <cfRule type="expression" dxfId="148" priority="63">
      <formula>$D$9=TRUE</formula>
    </cfRule>
  </conditionalFormatting>
  <conditionalFormatting sqref="C10">
    <cfRule type="expression" dxfId="147" priority="16">
      <formula>$D$10=FALSE</formula>
    </cfRule>
    <cfRule type="expression" dxfId="146" priority="62">
      <formula>$D$10=TRUE</formula>
    </cfRule>
  </conditionalFormatting>
  <conditionalFormatting sqref="C13">
    <cfRule type="expression" dxfId="145" priority="13">
      <formula>$D$13=FALSE</formula>
    </cfRule>
    <cfRule type="expression" dxfId="144" priority="61">
      <formula>$D$13=TRUE</formula>
    </cfRule>
  </conditionalFormatting>
  <conditionalFormatting sqref="C14">
    <cfRule type="expression" dxfId="143" priority="12">
      <formula>$D$14=FALSE</formula>
    </cfRule>
    <cfRule type="expression" dxfId="142" priority="60">
      <formula>$D$14=TRUE</formula>
    </cfRule>
  </conditionalFormatting>
  <conditionalFormatting sqref="C15">
    <cfRule type="expression" dxfId="141" priority="11">
      <formula>$D$15=FALSE</formula>
    </cfRule>
    <cfRule type="expression" dxfId="140" priority="59">
      <formula>$D$15=TRUE</formula>
    </cfRule>
  </conditionalFormatting>
  <conditionalFormatting sqref="C11">
    <cfRule type="expression" dxfId="139" priority="15">
      <formula>$D$11=FALSE</formula>
    </cfRule>
    <cfRule type="expression" dxfId="138" priority="47">
      <formula>$D$11=TRUE</formula>
    </cfRule>
  </conditionalFormatting>
  <conditionalFormatting sqref="C12">
    <cfRule type="expression" dxfId="137" priority="14">
      <formula>$D$12=FALSE</formula>
    </cfRule>
    <cfRule type="expression" dxfId="136" priority="46">
      <formula>$D$12=TRUE</formula>
    </cfRule>
  </conditionalFormatting>
  <conditionalFormatting sqref="C16">
    <cfRule type="expression" dxfId="135" priority="10">
      <formula>$D$16=FALSE</formula>
    </cfRule>
    <cfRule type="expression" dxfId="134" priority="45">
      <formula>$D$16=TRUE</formula>
    </cfRule>
  </conditionalFormatting>
  <conditionalFormatting sqref="C17">
    <cfRule type="expression" dxfId="133" priority="9">
      <formula>$D$17=FALSE</formula>
    </cfRule>
    <cfRule type="expression" dxfId="132" priority="44">
      <formula>$D$17=TRUE</formula>
    </cfRule>
  </conditionalFormatting>
  <conditionalFormatting sqref="C18">
    <cfRule type="expression" dxfId="131" priority="8">
      <formula>$D$18=FALSE</formula>
    </cfRule>
    <cfRule type="expression" dxfId="130" priority="43">
      <formula>$D$18=TRUE</formula>
    </cfRule>
  </conditionalFormatting>
  <conditionalFormatting sqref="C19">
    <cfRule type="expression" dxfId="129" priority="7">
      <formula>$D$19=FALSE</formula>
    </cfRule>
    <cfRule type="expression" dxfId="128" priority="42">
      <formula>$D$19=TRUE</formula>
    </cfRule>
  </conditionalFormatting>
  <conditionalFormatting sqref="C20">
    <cfRule type="expression" dxfId="127" priority="6">
      <formula>$D$20=FALSE</formula>
    </cfRule>
    <cfRule type="expression" dxfId="126" priority="41">
      <formula>$D$20=TRUE</formula>
    </cfRule>
  </conditionalFormatting>
  <conditionalFormatting sqref="C21">
    <cfRule type="expression" dxfId="125" priority="5">
      <formula>$D$21=FALSE</formula>
    </cfRule>
    <cfRule type="expression" dxfId="124" priority="40">
      <formula>$D$21=TRUE</formula>
    </cfRule>
  </conditionalFormatting>
  <conditionalFormatting sqref="C22">
    <cfRule type="expression" dxfId="123" priority="4">
      <formula>$D$22=FALSE</formula>
    </cfRule>
    <cfRule type="expression" dxfId="122" priority="39">
      <formula>$D$22=TRUE</formula>
    </cfRule>
  </conditionalFormatting>
  <conditionalFormatting sqref="C23">
    <cfRule type="expression" dxfId="121" priority="3">
      <formula>$D$23=FALSE</formula>
    </cfRule>
    <cfRule type="expression" dxfId="120" priority="38">
      <formula>$D$23=TRUE</formula>
    </cfRule>
  </conditionalFormatting>
  <conditionalFormatting sqref="C24">
    <cfRule type="expression" dxfId="119" priority="2">
      <formula>$D$24=FALSE</formula>
    </cfRule>
    <cfRule type="expression" dxfId="118" priority="37">
      <formula>$D$24=TRUE</formula>
    </cfRule>
  </conditionalFormatting>
  <conditionalFormatting sqref="C25">
    <cfRule type="expression" dxfId="117" priority="1">
      <formula>$D$25=FALSE</formula>
    </cfRule>
    <cfRule type="expression" dxfId="116" priority="36">
      <formula>$D$25=TRUE</formula>
    </cfRule>
  </conditionalFormatting>
  <conditionalFormatting sqref="C27">
    <cfRule type="dataBar" priority="69">
      <dataBar>
        <cfvo type="min"/>
        <cfvo type="num" val="1"/>
        <color theme="9" tint="0.59999389629810485"/>
      </dataBar>
      <extLst>
        <ext xmlns:x14="http://schemas.microsoft.com/office/spreadsheetml/2009/9/main" uri="{B025F937-C7B1-47D3-B67F-A62EFF666E3E}">
          <x14:id>{BE9D637E-DADE-49DA-9397-0CC109292ED2}</x14:id>
        </ext>
      </extLst>
    </cfRule>
  </conditionalFormatting>
  <dataValidations count="9">
    <dataValidation type="list" allowBlank="1" showInputMessage="1" showErrorMessage="1" sqref="Q16:Q17 K16:K20 I16:I20 K10 I10 O16:O17 M16:M17 Q10" xr:uid="{CDD8726E-B4A8-4A1D-B9BB-0A7E847068E9}">
      <formula1>$G$37:$G$38</formula1>
    </dataValidation>
    <dataValidation type="list" allowBlank="1" showInputMessage="1" showErrorMessage="1" sqref="Q11:Q12 I21 K21 I11:I12 M15 K15 I15" xr:uid="{F64ECDA9-68B8-4963-84F5-7B8C3158F665}">
      <formula1>$H$37:$H$38</formula1>
    </dataValidation>
    <dataValidation type="list" allowBlank="1" showInputMessage="1" showErrorMessage="1" sqref="K13:K14 Q14 I13:I14 O14 M14" xr:uid="{735D20A2-E76C-4882-99B7-D56BA0B5082D}">
      <formula1>$J$37:$J$40</formula1>
    </dataValidation>
    <dataValidation type="list" allowBlank="1" showInputMessage="1" showErrorMessage="1" sqref="I22:I23" xr:uid="{9B869CB5-CF8E-4EAA-BED3-20E3E60E1A60}">
      <formula1>$K$37:$K$38</formula1>
    </dataValidation>
    <dataValidation type="list" allowBlank="1" showInputMessage="1" showErrorMessage="1" sqref="I24" xr:uid="{02C405E5-EBC9-4C0A-BC6B-04234FFBFD14}">
      <formula1>$I$37:$I$38</formula1>
    </dataValidation>
    <dataValidation type="list" allowBlank="1" showInputMessage="1" showErrorMessage="1" sqref="I25" xr:uid="{2502AC72-1DFE-4086-BCC5-EEA21937FCF2}">
      <formula1>$L$37:$L$42</formula1>
    </dataValidation>
    <dataValidation type="list" allowBlank="1" showInputMessage="1" showErrorMessage="1" sqref="M25" xr:uid="{747315E7-0BAF-4F36-AA4B-CB087BE3CB6B}">
      <formula1>$M$37:$M$38</formula1>
    </dataValidation>
    <dataValidation type="list" allowBlank="1" showInputMessage="1" showErrorMessage="1" sqref="O25" xr:uid="{997C71F7-9351-41D5-93CB-F309457DA70E}">
      <formula1>$N$37:$N$40</formula1>
    </dataValidation>
    <dataValidation type="whole" operator="greaterThanOrEqual" allowBlank="1" showInputMessage="1" showErrorMessage="1" sqref="K25" xr:uid="{14179D67-D530-41DF-B5B9-C406D3E6D3B0}">
      <formula1>100000</formula1>
    </dataValidation>
  </dataValidations>
  <hyperlinks>
    <hyperlink ref="C7" r:id="rId1" xr:uid="{DF97B872-46D8-4261-B364-CCCFFC7969B9}"/>
    <hyperlink ref="C8" r:id="rId2" xr:uid="{239CDB3B-B7C9-4509-AA96-1FC28BDF1B87}"/>
    <hyperlink ref="C9" r:id="rId3" xr:uid="{0A991254-A9F5-4E9F-9078-8BC91B8B55E9}"/>
    <hyperlink ref="C10" r:id="rId4" display="Process temperature verification check (MF &amp; MCF)" xr:uid="{AB739BDA-A1B6-4589-9EB3-2D9A5EEFB592}"/>
    <hyperlink ref="C11" r:id="rId5" xr:uid="{24E11432-30F9-4174-A743-5B448B099F6C}"/>
    <hyperlink ref="C12" r:id="rId6" xr:uid="{920530B0-D9B2-4E4A-97CA-7335C194E542}"/>
    <hyperlink ref="C15" r:id="rId7" display="Clean paper path rollers" xr:uid="{2627C975-2D0F-44CA-82AD-C0B5512CD59D}"/>
    <hyperlink ref="C16" r:id="rId8" display="Nap foil condition" xr:uid="{10F1D849-6700-44A6-BD78-1DF5917F3C7E}"/>
    <hyperlink ref="C17" r:id="rId9" display="Reel stand chucks clean " xr:uid="{110900CF-FBC4-4E1C-8621-30C7C3945A3B}"/>
    <hyperlink ref="C19" r:id="rId10" display="Glue tray vacuum inlet pipe condition" xr:uid="{969102E9-F08D-4F91-8F18-1D1D288A59DF}"/>
    <hyperlink ref="C20" r:id="rId11" display="Facer glue tray scraper blade condition" xr:uid="{F43064A5-6F7D-4983-8C9E-3A2566C548FE}"/>
    <hyperlink ref="C21" r:id="rId12" xr:uid="{D32DCD50-10D3-457B-890C-F23BF00E90D7}"/>
    <hyperlink ref="C22:C23" r:id="rId13" display="Web formation on bridge MF" xr:uid="{55091601-2BF0-4465-9081-CCCC319CC6B7}"/>
    <hyperlink ref="C24" r:id="rId14" xr:uid="{130FC7C8-EF9E-4AE4-8A70-D2FC37FA4F54}"/>
    <hyperlink ref="C25" r:id="rId15" xr:uid="{FB0B8B37-083D-4A0B-8DD5-891E86DBECF5}"/>
    <hyperlink ref="C13:C14" r:id="rId16" display="Hydraulic oil level in facer" xr:uid="{8A7B95DB-57CE-4214-8068-8AF425114DD1}"/>
    <hyperlink ref="C18" r:id="rId17" xr:uid="{322AFF6A-3452-487B-8771-CBFC5511FB8F}"/>
    <hyperlink ref="C23" r:id="rId18" xr:uid="{EC2CC2F1-0CA6-4B52-8808-8DEEAA1DF571}"/>
  </hyperlinks>
  <pageMargins left="0.7" right="0.7" top="0.75" bottom="0.75" header="0.3" footer="0.3"/>
  <drawing r:id="rId19"/>
  <legacyDrawing r:id="rId20"/>
  <mc:AlternateContent xmlns:mc="http://schemas.openxmlformats.org/markup-compatibility/2006">
    <mc:Choice Requires="x14">
      <controls>
        <mc:AlternateContent xmlns:mc="http://schemas.openxmlformats.org/markup-compatibility/2006">
          <mc:Choice Requires="x14">
            <control shapeId="1026" r:id="rId21" name="Check Box 2">
              <controlPr defaultSize="0" autoFill="0" autoLine="0" autoPict="0">
                <anchor moveWithCells="1">
                  <from>
                    <xdr:col>3</xdr:col>
                    <xdr:colOff>228600</xdr:colOff>
                    <xdr:row>7</xdr:row>
                    <xdr:rowOff>0</xdr:rowOff>
                  </from>
                  <to>
                    <xdr:col>3</xdr:col>
                    <xdr:colOff>533400</xdr:colOff>
                    <xdr:row>7</xdr:row>
                    <xdr:rowOff>215900</xdr:rowOff>
                  </to>
                </anchor>
              </controlPr>
            </control>
          </mc:Choice>
        </mc:AlternateContent>
        <mc:AlternateContent xmlns:mc="http://schemas.openxmlformats.org/markup-compatibility/2006">
          <mc:Choice Requires="x14">
            <control shapeId="1027" r:id="rId22" name="Check Box 3">
              <controlPr defaultSize="0" autoFill="0" autoLine="0" autoPict="0">
                <anchor moveWithCells="1">
                  <from>
                    <xdr:col>3</xdr:col>
                    <xdr:colOff>215900</xdr:colOff>
                    <xdr:row>8</xdr:row>
                    <xdr:rowOff>12700</xdr:rowOff>
                  </from>
                  <to>
                    <xdr:col>3</xdr:col>
                    <xdr:colOff>520700</xdr:colOff>
                    <xdr:row>8</xdr:row>
                    <xdr:rowOff>228600</xdr:rowOff>
                  </to>
                </anchor>
              </controlPr>
            </control>
          </mc:Choice>
        </mc:AlternateContent>
        <mc:AlternateContent xmlns:mc="http://schemas.openxmlformats.org/markup-compatibility/2006">
          <mc:Choice Requires="x14">
            <control shapeId="1028" r:id="rId23" name="Check Box 4">
              <controlPr defaultSize="0" autoFill="0" autoLine="0" autoPict="0">
                <anchor moveWithCells="1">
                  <from>
                    <xdr:col>3</xdr:col>
                    <xdr:colOff>228600</xdr:colOff>
                    <xdr:row>9</xdr:row>
                    <xdr:rowOff>0</xdr:rowOff>
                  </from>
                  <to>
                    <xdr:col>3</xdr:col>
                    <xdr:colOff>520700</xdr:colOff>
                    <xdr:row>9</xdr:row>
                    <xdr:rowOff>215900</xdr:rowOff>
                  </to>
                </anchor>
              </controlPr>
            </control>
          </mc:Choice>
        </mc:AlternateContent>
        <mc:AlternateContent xmlns:mc="http://schemas.openxmlformats.org/markup-compatibility/2006">
          <mc:Choice Requires="x14">
            <control shapeId="1029" r:id="rId24" name="Check Box 5">
              <controlPr defaultSize="0" autoFill="0" autoLine="0" autoPict="0">
                <anchor moveWithCells="1">
                  <from>
                    <xdr:col>3</xdr:col>
                    <xdr:colOff>228600</xdr:colOff>
                    <xdr:row>12</xdr:row>
                    <xdr:rowOff>38100</xdr:rowOff>
                  </from>
                  <to>
                    <xdr:col>3</xdr:col>
                    <xdr:colOff>533400</xdr:colOff>
                    <xdr:row>12</xdr:row>
                    <xdr:rowOff>254000</xdr:rowOff>
                  </to>
                </anchor>
              </controlPr>
            </control>
          </mc:Choice>
        </mc:AlternateContent>
        <mc:AlternateContent xmlns:mc="http://schemas.openxmlformats.org/markup-compatibility/2006">
          <mc:Choice Requires="x14">
            <control shapeId="1030" r:id="rId25" name="Check Box 6">
              <controlPr defaultSize="0" autoFill="0" autoLine="0" autoPict="0">
                <anchor moveWithCells="1">
                  <from>
                    <xdr:col>3</xdr:col>
                    <xdr:colOff>228600</xdr:colOff>
                    <xdr:row>13</xdr:row>
                    <xdr:rowOff>25400</xdr:rowOff>
                  </from>
                  <to>
                    <xdr:col>3</xdr:col>
                    <xdr:colOff>533400</xdr:colOff>
                    <xdr:row>13</xdr:row>
                    <xdr:rowOff>254000</xdr:rowOff>
                  </to>
                </anchor>
              </controlPr>
            </control>
          </mc:Choice>
        </mc:AlternateContent>
        <mc:AlternateContent xmlns:mc="http://schemas.openxmlformats.org/markup-compatibility/2006">
          <mc:Choice Requires="x14">
            <control shapeId="1031" r:id="rId26" name="Check Box 7">
              <controlPr defaultSize="0" autoFill="0" autoLine="0" autoPict="0">
                <anchor moveWithCells="1">
                  <from>
                    <xdr:col>3</xdr:col>
                    <xdr:colOff>228600</xdr:colOff>
                    <xdr:row>14</xdr:row>
                    <xdr:rowOff>25400</xdr:rowOff>
                  </from>
                  <to>
                    <xdr:col>3</xdr:col>
                    <xdr:colOff>533400</xdr:colOff>
                    <xdr:row>14</xdr:row>
                    <xdr:rowOff>241300</xdr:rowOff>
                  </to>
                </anchor>
              </controlPr>
            </control>
          </mc:Choice>
        </mc:AlternateContent>
        <mc:AlternateContent xmlns:mc="http://schemas.openxmlformats.org/markup-compatibility/2006">
          <mc:Choice Requires="x14">
            <control shapeId="1032" r:id="rId27" name="Check Box 8">
              <controlPr defaultSize="0" autoFill="0" autoLine="0" autoPict="0">
                <anchor moveWithCells="1">
                  <from>
                    <xdr:col>3</xdr:col>
                    <xdr:colOff>228600</xdr:colOff>
                    <xdr:row>15</xdr:row>
                    <xdr:rowOff>25400</xdr:rowOff>
                  </from>
                  <to>
                    <xdr:col>3</xdr:col>
                    <xdr:colOff>533400</xdr:colOff>
                    <xdr:row>15</xdr:row>
                    <xdr:rowOff>241300</xdr:rowOff>
                  </to>
                </anchor>
              </controlPr>
            </control>
          </mc:Choice>
        </mc:AlternateContent>
        <mc:AlternateContent xmlns:mc="http://schemas.openxmlformats.org/markup-compatibility/2006">
          <mc:Choice Requires="x14">
            <control shapeId="1033" r:id="rId28" name="Check Box 9">
              <controlPr defaultSize="0" autoFill="0" autoLine="0" autoPict="0">
                <anchor moveWithCells="1">
                  <from>
                    <xdr:col>3</xdr:col>
                    <xdr:colOff>228600</xdr:colOff>
                    <xdr:row>16</xdr:row>
                    <xdr:rowOff>38100</xdr:rowOff>
                  </from>
                  <to>
                    <xdr:col>3</xdr:col>
                    <xdr:colOff>558800</xdr:colOff>
                    <xdr:row>16</xdr:row>
                    <xdr:rowOff>254000</xdr:rowOff>
                  </to>
                </anchor>
              </controlPr>
            </control>
          </mc:Choice>
        </mc:AlternateContent>
        <mc:AlternateContent xmlns:mc="http://schemas.openxmlformats.org/markup-compatibility/2006">
          <mc:Choice Requires="x14">
            <control shapeId="1034" r:id="rId29" name="Check Box 10">
              <controlPr defaultSize="0" autoFill="0" autoLine="0" autoPict="0">
                <anchor moveWithCells="1">
                  <from>
                    <xdr:col>3</xdr:col>
                    <xdr:colOff>228600</xdr:colOff>
                    <xdr:row>17</xdr:row>
                    <xdr:rowOff>38100</xdr:rowOff>
                  </from>
                  <to>
                    <xdr:col>3</xdr:col>
                    <xdr:colOff>533400</xdr:colOff>
                    <xdr:row>17</xdr:row>
                    <xdr:rowOff>241300</xdr:rowOff>
                  </to>
                </anchor>
              </controlPr>
            </control>
          </mc:Choice>
        </mc:AlternateContent>
        <mc:AlternateContent xmlns:mc="http://schemas.openxmlformats.org/markup-compatibility/2006">
          <mc:Choice Requires="x14">
            <control shapeId="1035" r:id="rId30" name="Check Box 11">
              <controlPr defaultSize="0" autoFill="0" autoLine="0" autoPict="0">
                <anchor moveWithCells="1">
                  <from>
                    <xdr:col>3</xdr:col>
                    <xdr:colOff>228600</xdr:colOff>
                    <xdr:row>18</xdr:row>
                    <xdr:rowOff>25400</xdr:rowOff>
                  </from>
                  <to>
                    <xdr:col>3</xdr:col>
                    <xdr:colOff>533400</xdr:colOff>
                    <xdr:row>18</xdr:row>
                    <xdr:rowOff>254000</xdr:rowOff>
                  </to>
                </anchor>
              </controlPr>
            </control>
          </mc:Choice>
        </mc:AlternateContent>
        <mc:AlternateContent xmlns:mc="http://schemas.openxmlformats.org/markup-compatibility/2006">
          <mc:Choice Requires="x14">
            <control shapeId="1036" r:id="rId31" name="Check Box 12">
              <controlPr defaultSize="0" autoFill="0" autoLine="0" autoPict="0">
                <anchor moveWithCells="1">
                  <from>
                    <xdr:col>3</xdr:col>
                    <xdr:colOff>228600</xdr:colOff>
                    <xdr:row>19</xdr:row>
                    <xdr:rowOff>25400</xdr:rowOff>
                  </from>
                  <to>
                    <xdr:col>3</xdr:col>
                    <xdr:colOff>533400</xdr:colOff>
                    <xdr:row>19</xdr:row>
                    <xdr:rowOff>254000</xdr:rowOff>
                  </to>
                </anchor>
              </controlPr>
            </control>
          </mc:Choice>
        </mc:AlternateContent>
        <mc:AlternateContent xmlns:mc="http://schemas.openxmlformats.org/markup-compatibility/2006">
          <mc:Choice Requires="x14">
            <control shapeId="1037" r:id="rId32" name="Check Box 13">
              <controlPr defaultSize="0" autoFill="0" autoLine="0" autoPict="0">
                <anchor moveWithCells="1">
                  <from>
                    <xdr:col>3</xdr:col>
                    <xdr:colOff>228600</xdr:colOff>
                    <xdr:row>20</xdr:row>
                    <xdr:rowOff>25400</xdr:rowOff>
                  </from>
                  <to>
                    <xdr:col>3</xdr:col>
                    <xdr:colOff>520700</xdr:colOff>
                    <xdr:row>20</xdr:row>
                    <xdr:rowOff>254000</xdr:rowOff>
                  </to>
                </anchor>
              </controlPr>
            </control>
          </mc:Choice>
        </mc:AlternateContent>
        <mc:AlternateContent xmlns:mc="http://schemas.openxmlformats.org/markup-compatibility/2006">
          <mc:Choice Requires="x14">
            <control shapeId="1038" r:id="rId33" name="Check Box 14">
              <controlPr defaultSize="0" autoFill="0" autoLine="0" autoPict="0">
                <anchor moveWithCells="1">
                  <from>
                    <xdr:col>3</xdr:col>
                    <xdr:colOff>228600</xdr:colOff>
                    <xdr:row>21</xdr:row>
                    <xdr:rowOff>25400</xdr:rowOff>
                  </from>
                  <to>
                    <xdr:col>3</xdr:col>
                    <xdr:colOff>533400</xdr:colOff>
                    <xdr:row>21</xdr:row>
                    <xdr:rowOff>254000</xdr:rowOff>
                  </to>
                </anchor>
              </controlPr>
            </control>
          </mc:Choice>
        </mc:AlternateContent>
        <mc:AlternateContent xmlns:mc="http://schemas.openxmlformats.org/markup-compatibility/2006">
          <mc:Choice Requires="x14">
            <control shapeId="1039" r:id="rId34" name="Check Box 15">
              <controlPr defaultSize="0" autoFill="0" autoLine="0" autoPict="0">
                <anchor moveWithCells="1">
                  <from>
                    <xdr:col>3</xdr:col>
                    <xdr:colOff>228600</xdr:colOff>
                    <xdr:row>22</xdr:row>
                    <xdr:rowOff>25400</xdr:rowOff>
                  </from>
                  <to>
                    <xdr:col>3</xdr:col>
                    <xdr:colOff>533400</xdr:colOff>
                    <xdr:row>22</xdr:row>
                    <xdr:rowOff>254000</xdr:rowOff>
                  </to>
                </anchor>
              </controlPr>
            </control>
          </mc:Choice>
        </mc:AlternateContent>
        <mc:AlternateContent xmlns:mc="http://schemas.openxmlformats.org/markup-compatibility/2006">
          <mc:Choice Requires="x14">
            <control shapeId="1040" r:id="rId35" name="Check Box 16">
              <controlPr defaultSize="0" autoFill="0" autoLine="0" autoPict="0">
                <anchor moveWithCells="1">
                  <from>
                    <xdr:col>3</xdr:col>
                    <xdr:colOff>228600</xdr:colOff>
                    <xdr:row>23</xdr:row>
                    <xdr:rowOff>25400</xdr:rowOff>
                  </from>
                  <to>
                    <xdr:col>3</xdr:col>
                    <xdr:colOff>533400</xdr:colOff>
                    <xdr:row>23</xdr:row>
                    <xdr:rowOff>254000</xdr:rowOff>
                  </to>
                </anchor>
              </controlPr>
            </control>
          </mc:Choice>
        </mc:AlternateContent>
        <mc:AlternateContent xmlns:mc="http://schemas.openxmlformats.org/markup-compatibility/2006">
          <mc:Choice Requires="x14">
            <control shapeId="1041" r:id="rId36" name="Check Box 17">
              <controlPr defaultSize="0" autoFill="0" autoLine="0" autoPict="0">
                <anchor moveWithCells="1">
                  <from>
                    <xdr:col>3</xdr:col>
                    <xdr:colOff>228600</xdr:colOff>
                    <xdr:row>24</xdr:row>
                    <xdr:rowOff>25400</xdr:rowOff>
                  </from>
                  <to>
                    <xdr:col>3</xdr:col>
                    <xdr:colOff>533400</xdr:colOff>
                    <xdr:row>24</xdr:row>
                    <xdr:rowOff>254000</xdr:rowOff>
                  </to>
                </anchor>
              </controlPr>
            </control>
          </mc:Choice>
        </mc:AlternateContent>
        <mc:AlternateContent xmlns:mc="http://schemas.openxmlformats.org/markup-compatibility/2006">
          <mc:Choice Requires="x14">
            <control shapeId="1043" r:id="rId37" name="Check Box 19">
              <controlPr defaultSize="0" autoFill="0" autoLine="0" autoPict="0">
                <anchor moveWithCells="1">
                  <from>
                    <xdr:col>3</xdr:col>
                    <xdr:colOff>228600</xdr:colOff>
                    <xdr:row>10</xdr:row>
                    <xdr:rowOff>0</xdr:rowOff>
                  </from>
                  <to>
                    <xdr:col>3</xdr:col>
                    <xdr:colOff>533400</xdr:colOff>
                    <xdr:row>10</xdr:row>
                    <xdr:rowOff>215900</xdr:rowOff>
                  </to>
                </anchor>
              </controlPr>
            </control>
          </mc:Choice>
        </mc:AlternateContent>
        <mc:AlternateContent xmlns:mc="http://schemas.openxmlformats.org/markup-compatibility/2006">
          <mc:Choice Requires="x14">
            <control shapeId="1044" r:id="rId38" name="Check Box 20">
              <controlPr defaultSize="0" autoFill="0" autoLine="0" autoPict="0">
                <anchor moveWithCells="1">
                  <from>
                    <xdr:col>3</xdr:col>
                    <xdr:colOff>228600</xdr:colOff>
                    <xdr:row>11</xdr:row>
                    <xdr:rowOff>0</xdr:rowOff>
                  </from>
                  <to>
                    <xdr:col>3</xdr:col>
                    <xdr:colOff>533400</xdr:colOff>
                    <xdr:row>11</xdr:row>
                    <xdr:rowOff>215900</xdr:rowOff>
                  </to>
                </anchor>
              </controlPr>
            </control>
          </mc:Choice>
        </mc:AlternateContent>
        <mc:AlternateContent xmlns:mc="http://schemas.openxmlformats.org/markup-compatibility/2006">
          <mc:Choice Requires="x14">
            <control shapeId="1045" r:id="rId39" name="Check Box 21">
              <controlPr defaultSize="0" autoFill="0" autoLine="0" autoPict="0">
                <anchor moveWithCells="1">
                  <from>
                    <xdr:col>3</xdr:col>
                    <xdr:colOff>215900</xdr:colOff>
                    <xdr:row>6</xdr:row>
                    <xdr:rowOff>0</xdr:rowOff>
                  </from>
                  <to>
                    <xdr:col>3</xdr:col>
                    <xdr:colOff>520700</xdr:colOff>
                    <xdr:row>6</xdr:row>
                    <xdr:rowOff>215900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E9D637E-DADE-49DA-9397-0CC109292ED2}">
            <x14:dataBar minLength="0" maxLength="100" gradient="0">
              <x14:cfvo type="autoMin"/>
              <x14:cfvo type="num">
                <xm:f>1</xm:f>
              </x14:cfvo>
              <x14:negativeFillColor rgb="FFFF0000"/>
              <x14:axisColor rgb="FF000000"/>
            </x14:dataBar>
          </x14:cfRule>
          <xm:sqref>C27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84EB-17D7-4242-9BD7-67E715FCECFA}">
  <sheetPr codeName="Sheet3"/>
  <dimension ref="B1:T47"/>
  <sheetViews>
    <sheetView showGridLines="0" topLeftCell="A5" zoomScale="89" zoomScaleNormal="160" workbookViewId="0">
      <selection activeCell="B2" sqref="B2:R4"/>
    </sheetView>
  </sheetViews>
  <sheetFormatPr baseColWidth="10" defaultColWidth="8.83203125" defaultRowHeight="15" x14ac:dyDescent="0.2"/>
  <cols>
    <col min="1" max="1" width="2.6640625" customWidth="1"/>
    <col min="2" max="2" width="18.6640625" customWidth="1"/>
    <col min="3" max="3" width="61.6640625" customWidth="1"/>
    <col min="4" max="4" width="10.6640625" customWidth="1"/>
    <col min="5" max="5" width="17.6640625" customWidth="1"/>
    <col min="6" max="6" width="19.83203125" bestFit="1" customWidth="1"/>
    <col min="7" max="7" width="12.6640625" style="1" customWidth="1"/>
    <col min="8" max="16" width="14.6640625" style="1" customWidth="1"/>
    <col min="17" max="17" width="14.6640625" customWidth="1"/>
    <col min="18" max="18" width="2.6640625" customWidth="1"/>
    <col min="20" max="20" width="8.83203125" hidden="1" customWidth="1"/>
  </cols>
  <sheetData>
    <row r="1" spans="2:20" ht="33.75" customHeight="1" x14ac:dyDescent="0.2"/>
    <row r="2" spans="2:20" ht="15" customHeight="1" x14ac:dyDescent="0.2">
      <c r="B2" s="162" t="s">
        <v>12</v>
      </c>
      <c r="C2" s="162"/>
      <c r="D2" s="162"/>
      <c r="E2" s="162"/>
      <c r="F2" s="162"/>
      <c r="G2" s="162"/>
      <c r="H2" s="162"/>
      <c r="I2" s="162"/>
      <c r="J2" s="162"/>
      <c r="K2" s="162"/>
      <c r="L2" s="162"/>
      <c r="M2" s="162"/>
      <c r="N2" s="162"/>
      <c r="O2" s="162"/>
      <c r="P2" s="162"/>
      <c r="Q2" s="162"/>
      <c r="R2" s="162"/>
    </row>
    <row r="3" spans="2:20" ht="15" customHeight="1" x14ac:dyDescent="0.2">
      <c r="B3" s="162"/>
      <c r="C3" s="162"/>
      <c r="D3" s="162"/>
      <c r="E3" s="162"/>
      <c r="F3" s="162"/>
      <c r="G3" s="162"/>
      <c r="H3" s="162"/>
      <c r="I3" s="162"/>
      <c r="J3" s="162"/>
      <c r="K3" s="162"/>
      <c r="L3" s="162"/>
      <c r="M3" s="162"/>
      <c r="N3" s="162"/>
      <c r="O3" s="162"/>
      <c r="P3" s="162"/>
      <c r="Q3" s="162"/>
      <c r="R3" s="162"/>
    </row>
    <row r="4" spans="2:20" ht="15" customHeight="1" x14ac:dyDescent="0.2">
      <c r="B4" s="162"/>
      <c r="C4" s="162"/>
      <c r="D4" s="162"/>
      <c r="E4" s="162"/>
      <c r="F4" s="162"/>
      <c r="G4" s="162"/>
      <c r="H4" s="162"/>
      <c r="I4" s="162"/>
      <c r="J4" s="162"/>
      <c r="K4" s="162"/>
      <c r="L4" s="162"/>
      <c r="M4" s="162"/>
      <c r="N4" s="162"/>
      <c r="O4" s="162"/>
      <c r="P4" s="162"/>
      <c r="Q4" s="162"/>
      <c r="R4" s="162"/>
    </row>
    <row r="5" spans="2:20" ht="42" customHeight="1" x14ac:dyDescent="0.45">
      <c r="C5" s="63">
        <f ca="1">NOW()</f>
        <v>45934.716609143521</v>
      </c>
      <c r="H5" s="161" t="s">
        <v>269</v>
      </c>
      <c r="I5" s="161"/>
      <c r="J5" s="161"/>
    </row>
    <row r="6" spans="2:20" ht="27" x14ac:dyDescent="0.35">
      <c r="C6" s="4" t="s">
        <v>9</v>
      </c>
      <c r="D6" s="9" t="s">
        <v>10</v>
      </c>
      <c r="E6" s="9" t="s">
        <v>13</v>
      </c>
      <c r="F6" s="76" t="s">
        <v>277</v>
      </c>
      <c r="G6" s="9" t="s">
        <v>262</v>
      </c>
      <c r="H6" s="154" t="s">
        <v>263</v>
      </c>
      <c r="I6" s="154"/>
      <c r="J6" s="154"/>
      <c r="K6" s="154"/>
      <c r="L6" s="154"/>
      <c r="M6" s="154"/>
      <c r="N6" s="154"/>
      <c r="O6" s="154"/>
      <c r="P6" s="154"/>
      <c r="Q6" s="154"/>
    </row>
    <row r="7" spans="2:20" ht="22" x14ac:dyDescent="0.3">
      <c r="C7" s="19" t="s">
        <v>25</v>
      </c>
      <c r="D7" s="86" t="b">
        <v>0</v>
      </c>
      <c r="E7" s="1" t="s">
        <v>55</v>
      </c>
      <c r="F7" s="96">
        <v>45869.748912037037</v>
      </c>
      <c r="G7" s="78"/>
      <c r="H7" s="45" t="s">
        <v>224</v>
      </c>
      <c r="I7" s="79"/>
      <c r="J7" s="45" t="s">
        <v>228</v>
      </c>
      <c r="K7" s="79"/>
      <c r="L7" s="45" t="s">
        <v>229</v>
      </c>
      <c r="M7" s="79"/>
      <c r="N7" s="45" t="s">
        <v>230</v>
      </c>
      <c r="O7" s="79"/>
      <c r="P7" s="45" t="s">
        <v>231</v>
      </c>
      <c r="Q7" s="79"/>
      <c r="T7">
        <f>IF(D7=TRUE,1,0)</f>
        <v>0</v>
      </c>
    </row>
    <row r="8" spans="2:20" ht="22" x14ac:dyDescent="0.3">
      <c r="C8" s="19" t="s">
        <v>72</v>
      </c>
      <c r="D8" s="86" t="b">
        <v>1</v>
      </c>
      <c r="E8" s="1" t="s">
        <v>55</v>
      </c>
      <c r="F8" s="96">
        <v>45869.748900462961</v>
      </c>
      <c r="G8" s="78"/>
      <c r="H8" s="45" t="s">
        <v>224</v>
      </c>
      <c r="I8" s="79"/>
      <c r="J8" s="45" t="s">
        <v>228</v>
      </c>
      <c r="K8" s="79"/>
      <c r="L8" s="45" t="s">
        <v>229</v>
      </c>
      <c r="M8" s="79"/>
      <c r="N8" s="45" t="s">
        <v>230</v>
      </c>
      <c r="O8" s="79"/>
      <c r="P8" s="45" t="s">
        <v>231</v>
      </c>
      <c r="Q8" s="79"/>
      <c r="T8">
        <f t="shared" ref="T8:T29" si="0">IF(D8=TRUE,1,0)</f>
        <v>1</v>
      </c>
    </row>
    <row r="9" spans="2:20" ht="22" x14ac:dyDescent="0.3">
      <c r="C9" s="19" t="s">
        <v>278</v>
      </c>
      <c r="D9" s="86" t="b">
        <v>1</v>
      </c>
      <c r="E9" s="1" t="s">
        <v>55</v>
      </c>
      <c r="F9" s="96">
        <v>45869.748888888891</v>
      </c>
      <c r="G9" s="78"/>
      <c r="H9" s="45" t="s">
        <v>224</v>
      </c>
      <c r="I9" s="79"/>
      <c r="J9" s="45" t="s">
        <v>228</v>
      </c>
      <c r="K9" s="79"/>
      <c r="L9" s="45" t="s">
        <v>229</v>
      </c>
      <c r="M9" s="79"/>
      <c r="N9" s="45" t="s">
        <v>230</v>
      </c>
      <c r="O9" s="79"/>
      <c r="P9" s="45" t="s">
        <v>231</v>
      </c>
      <c r="Q9" s="79"/>
      <c r="T9">
        <f t="shared" si="0"/>
        <v>1</v>
      </c>
    </row>
    <row r="10" spans="2:20" ht="22" x14ac:dyDescent="0.3">
      <c r="C10" s="19" t="s">
        <v>207</v>
      </c>
      <c r="D10" s="86" t="b">
        <v>1</v>
      </c>
      <c r="E10" s="1" t="s">
        <v>55</v>
      </c>
      <c r="F10" s="96">
        <v>45869.748854166668</v>
      </c>
      <c r="G10" s="78"/>
      <c r="H10" s="45" t="s">
        <v>212</v>
      </c>
      <c r="I10" s="79"/>
      <c r="J10" s="45" t="s">
        <v>213</v>
      </c>
      <c r="K10" s="80"/>
      <c r="L10" s="56"/>
      <c r="M10" s="81"/>
      <c r="N10" s="56"/>
      <c r="O10" s="81"/>
      <c r="P10" s="57"/>
      <c r="Q10" s="85"/>
      <c r="T10">
        <f t="shared" si="0"/>
        <v>1</v>
      </c>
    </row>
    <row r="11" spans="2:20" ht="22" x14ac:dyDescent="0.3">
      <c r="C11" s="19" t="s">
        <v>208</v>
      </c>
      <c r="D11" s="86" t="b">
        <v>1</v>
      </c>
      <c r="E11" s="1" t="s">
        <v>55</v>
      </c>
      <c r="F11" s="96">
        <v>45869.748842592591</v>
      </c>
      <c r="G11" s="78"/>
      <c r="H11" s="45" t="s">
        <v>212</v>
      </c>
      <c r="I11" s="79"/>
      <c r="J11" s="45" t="s">
        <v>213</v>
      </c>
      <c r="K11" s="80"/>
      <c r="L11" s="56"/>
      <c r="M11" s="81"/>
      <c r="N11" s="56"/>
      <c r="O11" s="81"/>
      <c r="P11" s="57"/>
      <c r="Q11" s="85"/>
      <c r="T11">
        <f t="shared" si="0"/>
        <v>1</v>
      </c>
    </row>
    <row r="12" spans="2:20" ht="22" x14ac:dyDescent="0.3">
      <c r="C12" s="19" t="s">
        <v>209</v>
      </c>
      <c r="D12" s="86" t="b">
        <v>1</v>
      </c>
      <c r="E12" s="1" t="s">
        <v>55</v>
      </c>
      <c r="F12" s="96">
        <v>45869.748831018522</v>
      </c>
      <c r="G12" s="78"/>
      <c r="H12" s="45" t="s">
        <v>212</v>
      </c>
      <c r="I12" s="79"/>
      <c r="J12" s="45" t="s">
        <v>213</v>
      </c>
      <c r="K12" s="80"/>
      <c r="L12" s="56"/>
      <c r="M12" s="81"/>
      <c r="N12" s="56"/>
      <c r="O12" s="81"/>
      <c r="P12" s="58"/>
      <c r="Q12" s="85"/>
      <c r="T12">
        <f t="shared" si="0"/>
        <v>1</v>
      </c>
    </row>
    <row r="13" spans="2:20" ht="22" x14ac:dyDescent="0.3">
      <c r="C13" s="19" t="s">
        <v>210</v>
      </c>
      <c r="D13" s="86" t="b">
        <v>1</v>
      </c>
      <c r="E13" s="1" t="s">
        <v>55</v>
      </c>
      <c r="F13" s="96">
        <v>45869.748831018522</v>
      </c>
      <c r="G13" s="78"/>
      <c r="H13" s="45" t="s">
        <v>212</v>
      </c>
      <c r="I13" s="79"/>
      <c r="J13" s="45" t="s">
        <v>213</v>
      </c>
      <c r="K13" s="80"/>
      <c r="L13" s="56"/>
      <c r="M13" s="81"/>
      <c r="N13" s="56"/>
      <c r="O13" s="81"/>
      <c r="P13" s="57"/>
      <c r="Q13" s="85"/>
      <c r="T13">
        <f t="shared" si="0"/>
        <v>1</v>
      </c>
    </row>
    <row r="14" spans="2:20" ht="22" x14ac:dyDescent="0.3">
      <c r="C14" s="19" t="s">
        <v>27</v>
      </c>
      <c r="D14" s="86" t="b">
        <v>1</v>
      </c>
      <c r="E14" s="1" t="s">
        <v>55</v>
      </c>
      <c r="F14" s="96">
        <v>45869.748819444445</v>
      </c>
      <c r="G14" s="78"/>
      <c r="H14" s="45" t="s">
        <v>239</v>
      </c>
      <c r="I14" s="79"/>
      <c r="J14" s="56"/>
      <c r="K14" s="81"/>
      <c r="L14" s="59"/>
      <c r="M14" s="81"/>
      <c r="N14" s="56"/>
      <c r="O14" s="81"/>
      <c r="P14" s="58"/>
      <c r="Q14" s="85"/>
      <c r="T14">
        <f t="shared" si="0"/>
        <v>1</v>
      </c>
    </row>
    <row r="15" spans="2:20" ht="22" x14ac:dyDescent="0.3">
      <c r="C15" s="19" t="s">
        <v>26</v>
      </c>
      <c r="D15" s="86" t="b">
        <v>1</v>
      </c>
      <c r="E15" s="1" t="s">
        <v>55</v>
      </c>
      <c r="F15" s="96">
        <v>45869.748796296299</v>
      </c>
      <c r="G15" s="78"/>
      <c r="H15" s="45" t="s">
        <v>239</v>
      </c>
      <c r="I15" s="79"/>
      <c r="J15" s="56"/>
      <c r="K15" s="81"/>
      <c r="L15" s="59"/>
      <c r="M15" s="81"/>
      <c r="N15" s="56"/>
      <c r="O15" s="81"/>
      <c r="P15" s="58"/>
      <c r="Q15" s="85"/>
      <c r="T15">
        <f t="shared" si="0"/>
        <v>1</v>
      </c>
    </row>
    <row r="16" spans="2:20" ht="22" x14ac:dyDescent="0.3">
      <c r="C16" s="19" t="s">
        <v>29</v>
      </c>
      <c r="D16" s="86" t="b">
        <v>1</v>
      </c>
      <c r="E16" s="1" t="s">
        <v>55</v>
      </c>
      <c r="F16" s="96">
        <v>45869.748784722222</v>
      </c>
      <c r="G16" s="78"/>
      <c r="H16" s="45" t="s">
        <v>239</v>
      </c>
      <c r="I16" s="79"/>
      <c r="J16" s="56"/>
      <c r="K16" s="82"/>
      <c r="L16" s="56"/>
      <c r="M16" s="81"/>
      <c r="N16" s="56"/>
      <c r="O16" s="81"/>
      <c r="P16" s="61"/>
      <c r="Q16" s="85"/>
      <c r="T16">
        <f t="shared" si="0"/>
        <v>1</v>
      </c>
    </row>
    <row r="17" spans="3:20" ht="22" x14ac:dyDescent="0.3">
      <c r="C17" s="19" t="s">
        <v>28</v>
      </c>
      <c r="D17" s="86" t="b">
        <v>1</v>
      </c>
      <c r="E17" s="1" t="s">
        <v>55</v>
      </c>
      <c r="F17" s="96">
        <v>45868.478333333333</v>
      </c>
      <c r="G17" s="78"/>
      <c r="H17" s="45" t="s">
        <v>239</v>
      </c>
      <c r="I17" s="79"/>
      <c r="J17" s="56"/>
      <c r="K17" s="82"/>
      <c r="L17" s="56"/>
      <c r="M17" s="81"/>
      <c r="N17" s="56"/>
      <c r="O17" s="81"/>
      <c r="P17" s="61"/>
      <c r="Q17" s="85"/>
      <c r="T17">
        <f t="shared" si="0"/>
        <v>1</v>
      </c>
    </row>
    <row r="18" spans="3:20" ht="22" x14ac:dyDescent="0.3">
      <c r="C18" s="19" t="s">
        <v>30</v>
      </c>
      <c r="D18" s="86" t="b">
        <v>1</v>
      </c>
      <c r="E18" s="1" t="s">
        <v>55</v>
      </c>
      <c r="F18" s="96">
        <v>45868.478333333333</v>
      </c>
      <c r="G18" s="78"/>
      <c r="H18" s="45" t="s">
        <v>239</v>
      </c>
      <c r="I18" s="79"/>
      <c r="J18" s="56"/>
      <c r="K18" s="82"/>
      <c r="L18" s="56"/>
      <c r="M18" s="81"/>
      <c r="N18" s="56"/>
      <c r="O18" s="81"/>
      <c r="P18" s="61"/>
      <c r="Q18" s="85"/>
      <c r="T18">
        <f t="shared" si="0"/>
        <v>1</v>
      </c>
    </row>
    <row r="19" spans="3:20" ht="22" x14ac:dyDescent="0.3">
      <c r="C19" s="19" t="s">
        <v>31</v>
      </c>
      <c r="D19" s="86" t="b">
        <v>1</v>
      </c>
      <c r="E19" s="1" t="s">
        <v>55</v>
      </c>
      <c r="F19" s="96">
        <v>45868.478333333333</v>
      </c>
      <c r="G19" s="78"/>
      <c r="H19" s="45" t="s">
        <v>264</v>
      </c>
      <c r="I19" s="79"/>
      <c r="J19" s="45" t="s">
        <v>265</v>
      </c>
      <c r="K19" s="79"/>
      <c r="L19" s="56"/>
      <c r="M19" s="81"/>
      <c r="N19" s="56"/>
      <c r="O19" s="81"/>
      <c r="P19" s="57"/>
      <c r="Q19" s="85"/>
      <c r="T19">
        <f t="shared" si="0"/>
        <v>1</v>
      </c>
    </row>
    <row r="20" spans="3:20" ht="22" x14ac:dyDescent="0.3">
      <c r="C20" s="19" t="s">
        <v>32</v>
      </c>
      <c r="D20" s="86" t="b">
        <v>1</v>
      </c>
      <c r="E20" s="1" t="s">
        <v>55</v>
      </c>
      <c r="F20" s="96">
        <v>45869.748773148145</v>
      </c>
      <c r="G20" s="78"/>
      <c r="H20" s="45" t="s">
        <v>264</v>
      </c>
      <c r="I20" s="79"/>
      <c r="J20" s="45" t="s">
        <v>265</v>
      </c>
      <c r="K20" s="79"/>
      <c r="L20" s="56"/>
      <c r="M20" s="81"/>
      <c r="N20" s="56"/>
      <c r="O20" s="81"/>
      <c r="P20" s="57"/>
      <c r="Q20" s="85"/>
      <c r="T20">
        <f t="shared" si="0"/>
        <v>1</v>
      </c>
    </row>
    <row r="21" spans="3:20" ht="22" x14ac:dyDescent="0.3">
      <c r="C21" s="19" t="s">
        <v>73</v>
      </c>
      <c r="D21" s="86" t="b">
        <v>1</v>
      </c>
      <c r="E21" s="1" t="s">
        <v>55</v>
      </c>
      <c r="F21" s="96">
        <v>45869.748761574076</v>
      </c>
      <c r="G21" s="78"/>
      <c r="H21" s="45" t="s">
        <v>264</v>
      </c>
      <c r="I21" s="79"/>
      <c r="J21" s="45" t="s">
        <v>265</v>
      </c>
      <c r="K21" s="79"/>
      <c r="L21" s="56"/>
      <c r="M21" s="81"/>
      <c r="N21" s="56"/>
      <c r="O21" s="81"/>
      <c r="P21" s="57"/>
      <c r="Q21" s="85"/>
      <c r="T21">
        <f t="shared" si="0"/>
        <v>1</v>
      </c>
    </row>
    <row r="22" spans="3:20" ht="22" x14ac:dyDescent="0.3">
      <c r="C22" s="19" t="s">
        <v>34</v>
      </c>
      <c r="D22" s="86" t="b">
        <v>1</v>
      </c>
      <c r="E22" s="1" t="s">
        <v>55</v>
      </c>
      <c r="F22" s="96">
        <v>45868.478321759256</v>
      </c>
      <c r="G22" s="78"/>
      <c r="H22" s="45" t="s">
        <v>239</v>
      </c>
      <c r="I22" s="79"/>
      <c r="J22" s="56"/>
      <c r="K22" s="81"/>
      <c r="L22" s="56"/>
      <c r="M22" s="81"/>
      <c r="N22" s="56"/>
      <c r="O22" s="81"/>
      <c r="P22" s="58"/>
      <c r="Q22" s="85"/>
      <c r="T22">
        <f t="shared" si="0"/>
        <v>1</v>
      </c>
    </row>
    <row r="23" spans="3:20" ht="22" x14ac:dyDescent="0.3">
      <c r="C23" s="19" t="s">
        <v>33</v>
      </c>
      <c r="D23" s="86" t="b">
        <v>1</v>
      </c>
      <c r="E23" s="1" t="s">
        <v>55</v>
      </c>
      <c r="F23" s="96">
        <v>45868.478310185186</v>
      </c>
      <c r="G23" s="78"/>
      <c r="H23" s="45" t="s">
        <v>239</v>
      </c>
      <c r="I23" s="79"/>
      <c r="J23" s="56"/>
      <c r="K23" s="81"/>
      <c r="L23" s="56"/>
      <c r="M23" s="81"/>
      <c r="N23" s="56"/>
      <c r="O23" s="81"/>
      <c r="P23" s="58"/>
      <c r="Q23" s="85"/>
      <c r="T23">
        <f t="shared" si="0"/>
        <v>1</v>
      </c>
    </row>
    <row r="24" spans="3:20" ht="22" x14ac:dyDescent="0.3">
      <c r="C24" s="19" t="s">
        <v>45</v>
      </c>
      <c r="D24" s="86" t="b">
        <v>1</v>
      </c>
      <c r="E24" s="1" t="s">
        <v>55</v>
      </c>
      <c r="F24" s="96">
        <v>45869.748738425929</v>
      </c>
      <c r="G24" s="78"/>
      <c r="H24" s="45" t="s">
        <v>239</v>
      </c>
      <c r="I24" s="79"/>
      <c r="J24" s="56"/>
      <c r="K24" s="81"/>
      <c r="L24" s="56"/>
      <c r="M24" s="81"/>
      <c r="N24" s="56"/>
      <c r="O24" s="81"/>
      <c r="P24" s="57"/>
      <c r="Q24" s="85"/>
      <c r="T24">
        <f t="shared" si="0"/>
        <v>1</v>
      </c>
    </row>
    <row r="25" spans="3:20" ht="22" x14ac:dyDescent="0.3">
      <c r="C25" s="19" t="s">
        <v>39</v>
      </c>
      <c r="D25" s="86" t="b">
        <v>1</v>
      </c>
      <c r="E25" s="1" t="s">
        <v>55</v>
      </c>
      <c r="F25" s="96">
        <v>45869.748726851853</v>
      </c>
      <c r="G25" s="78"/>
      <c r="H25" s="45" t="s">
        <v>239</v>
      </c>
      <c r="I25" s="79"/>
      <c r="J25" s="56"/>
      <c r="K25" s="81"/>
      <c r="L25" s="56"/>
      <c r="M25" s="81"/>
      <c r="N25" s="56"/>
      <c r="O25" s="81"/>
      <c r="P25" s="58"/>
      <c r="Q25" s="85"/>
      <c r="T25">
        <f t="shared" si="0"/>
        <v>1</v>
      </c>
    </row>
    <row r="26" spans="3:20" ht="22" x14ac:dyDescent="0.3">
      <c r="C26" s="19" t="s">
        <v>36</v>
      </c>
      <c r="D26" s="86" t="b">
        <v>1</v>
      </c>
      <c r="E26" s="1" t="s">
        <v>55</v>
      </c>
      <c r="F26" s="96">
        <v>45869.748715277776</v>
      </c>
      <c r="G26" s="78"/>
      <c r="H26" s="45" t="s">
        <v>264</v>
      </c>
      <c r="I26" s="79"/>
      <c r="J26" s="45" t="s">
        <v>265</v>
      </c>
      <c r="K26" s="79"/>
      <c r="L26" s="56"/>
      <c r="M26" s="81"/>
      <c r="N26" s="56"/>
      <c r="O26" s="81"/>
      <c r="P26" s="58"/>
      <c r="Q26" s="85"/>
      <c r="T26">
        <f t="shared" si="0"/>
        <v>1</v>
      </c>
    </row>
    <row r="27" spans="3:20" ht="22" x14ac:dyDescent="0.3">
      <c r="C27" s="19" t="s">
        <v>35</v>
      </c>
      <c r="D27" s="86" t="b">
        <v>1</v>
      </c>
      <c r="E27" s="1" t="s">
        <v>55</v>
      </c>
      <c r="F27" s="96">
        <v>45869.748703703706</v>
      </c>
      <c r="G27" s="78"/>
      <c r="H27" s="45" t="s">
        <v>264</v>
      </c>
      <c r="I27" s="79"/>
      <c r="J27" s="45" t="s">
        <v>265</v>
      </c>
      <c r="K27" s="79"/>
      <c r="L27" s="56"/>
      <c r="M27" s="81"/>
      <c r="N27" s="56"/>
      <c r="O27" s="81"/>
      <c r="P27" s="58"/>
      <c r="Q27" s="85"/>
      <c r="T27">
        <f t="shared" si="0"/>
        <v>1</v>
      </c>
    </row>
    <row r="28" spans="3:20" ht="22" x14ac:dyDescent="0.3">
      <c r="C28" s="19" t="s">
        <v>37</v>
      </c>
      <c r="D28" s="86" t="b">
        <v>1</v>
      </c>
      <c r="E28" s="1" t="s">
        <v>55</v>
      </c>
      <c r="F28" s="96">
        <v>45869.647986111115</v>
      </c>
      <c r="G28" s="78"/>
      <c r="H28" s="45" t="s">
        <v>239</v>
      </c>
      <c r="I28" s="79"/>
      <c r="J28" s="55"/>
      <c r="K28" s="83"/>
      <c r="L28" s="56"/>
      <c r="M28" s="81"/>
      <c r="N28" s="56"/>
      <c r="O28" s="81"/>
      <c r="P28" s="57"/>
      <c r="Q28" s="85"/>
      <c r="T28">
        <f t="shared" si="0"/>
        <v>1</v>
      </c>
    </row>
    <row r="29" spans="3:20" ht="22" x14ac:dyDescent="0.3">
      <c r="C29" s="19" t="s">
        <v>38</v>
      </c>
      <c r="D29" s="86" t="b">
        <v>1</v>
      </c>
      <c r="E29" s="1" t="s">
        <v>55</v>
      </c>
      <c r="F29" s="96">
        <v>45869.748692129629</v>
      </c>
      <c r="G29" s="78"/>
      <c r="H29" s="45" t="s">
        <v>266</v>
      </c>
      <c r="I29" s="79"/>
      <c r="J29" s="45" t="s">
        <v>267</v>
      </c>
      <c r="K29" s="79"/>
      <c r="L29" s="60" t="s">
        <v>268</v>
      </c>
      <c r="M29" s="84"/>
      <c r="N29" s="56"/>
      <c r="O29" s="81"/>
      <c r="P29" s="58"/>
      <c r="Q29" s="85"/>
      <c r="T29">
        <f t="shared" si="0"/>
        <v>1</v>
      </c>
    </row>
    <row r="30" spans="3:20" ht="15" customHeight="1" thickBot="1" x14ac:dyDescent="0.3">
      <c r="E30" s="40"/>
      <c r="F30" s="40"/>
    </row>
    <row r="31" spans="3:20" ht="15" customHeight="1" x14ac:dyDescent="0.2">
      <c r="C31" s="163">
        <f>IFERROR(COUNTIF(D7:D29, TRUE)/COUNTA(D7:D29),0)</f>
        <v>0.95652173913043481</v>
      </c>
      <c r="D31" s="164"/>
      <c r="E31" s="164"/>
      <c r="F31" s="164"/>
      <c r="G31" s="164"/>
      <c r="H31" s="164"/>
      <c r="I31" s="164"/>
      <c r="J31" s="164"/>
      <c r="K31" s="164"/>
      <c r="L31" s="164"/>
      <c r="M31" s="164"/>
      <c r="N31" s="164"/>
      <c r="O31" s="164"/>
      <c r="P31" s="164"/>
      <c r="Q31" s="165"/>
    </row>
    <row r="32" spans="3:20" ht="15.75" customHeight="1" thickBot="1" x14ac:dyDescent="0.25">
      <c r="C32" s="166"/>
      <c r="D32" s="167"/>
      <c r="E32" s="167"/>
      <c r="F32" s="167"/>
      <c r="G32" s="167"/>
      <c r="H32" s="167"/>
      <c r="I32" s="167"/>
      <c r="J32" s="167"/>
      <c r="K32" s="167"/>
      <c r="L32" s="167"/>
      <c r="M32" s="167"/>
      <c r="N32" s="167"/>
      <c r="O32" s="167"/>
      <c r="P32" s="167"/>
      <c r="Q32" s="168"/>
    </row>
    <row r="38" spans="7:13" x14ac:dyDescent="0.2">
      <c r="G38" s="73"/>
      <c r="H38" s="73"/>
      <c r="I38" s="73"/>
      <c r="J38" s="73"/>
      <c r="K38" s="73"/>
      <c r="L38" s="73"/>
      <c r="M38" s="73"/>
    </row>
    <row r="39" spans="7:13" x14ac:dyDescent="0.2">
      <c r="G39" s="73"/>
      <c r="H39" s="73"/>
      <c r="I39" s="73"/>
      <c r="J39" s="73"/>
      <c r="K39" s="73"/>
      <c r="L39" s="73"/>
      <c r="M39" s="73"/>
    </row>
    <row r="40" spans="7:13" x14ac:dyDescent="0.2">
      <c r="G40" s="73"/>
      <c r="H40" s="73" t="s">
        <v>240</v>
      </c>
      <c r="I40" s="73" t="s">
        <v>10</v>
      </c>
      <c r="J40" s="73" t="s">
        <v>220</v>
      </c>
      <c r="K40" s="73"/>
      <c r="L40" s="73"/>
      <c r="M40" s="73"/>
    </row>
    <row r="41" spans="7:13" x14ac:dyDescent="0.2">
      <c r="G41" s="73"/>
      <c r="H41" s="73" t="s">
        <v>245</v>
      </c>
      <c r="I41" s="73" t="s">
        <v>219</v>
      </c>
      <c r="J41" s="73" t="s">
        <v>222</v>
      </c>
      <c r="K41" s="73"/>
      <c r="L41" s="73"/>
      <c r="M41" s="73"/>
    </row>
    <row r="42" spans="7:13" x14ac:dyDescent="0.2">
      <c r="G42" s="73"/>
      <c r="H42" s="73"/>
      <c r="I42" s="73"/>
      <c r="J42" s="73" t="s">
        <v>221</v>
      </c>
      <c r="K42" s="73"/>
      <c r="L42" s="73"/>
      <c r="M42" s="73"/>
    </row>
    <row r="43" spans="7:13" x14ac:dyDescent="0.2">
      <c r="G43" s="73"/>
      <c r="H43" s="73"/>
      <c r="I43" s="73"/>
      <c r="J43" s="73" t="s">
        <v>223</v>
      </c>
      <c r="K43" s="73"/>
      <c r="L43" s="73"/>
      <c r="M43" s="73"/>
    </row>
    <row r="44" spans="7:13" x14ac:dyDescent="0.2">
      <c r="G44" s="73"/>
      <c r="H44" s="73"/>
      <c r="I44" s="73"/>
      <c r="J44" s="73"/>
      <c r="K44" s="73"/>
      <c r="L44" s="73"/>
      <c r="M44" s="73"/>
    </row>
    <row r="45" spans="7:13" x14ac:dyDescent="0.2">
      <c r="G45" s="73"/>
      <c r="H45" s="73"/>
      <c r="I45" s="73"/>
      <c r="J45" s="73"/>
      <c r="K45" s="73"/>
      <c r="L45" s="73"/>
      <c r="M45" s="73"/>
    </row>
    <row r="46" spans="7:13" x14ac:dyDescent="0.2">
      <c r="G46" s="73"/>
      <c r="H46" s="73"/>
      <c r="I46" s="73"/>
      <c r="J46" s="73"/>
      <c r="K46" s="73"/>
      <c r="L46" s="73"/>
      <c r="M46" s="73"/>
    </row>
    <row r="47" spans="7:13" x14ac:dyDescent="0.2">
      <c r="G47" s="73"/>
      <c r="H47" s="73"/>
      <c r="I47" s="73"/>
      <c r="J47" s="73"/>
      <c r="K47" s="73"/>
      <c r="L47" s="73"/>
      <c r="M47" s="73"/>
    </row>
  </sheetData>
  <mergeCells count="4">
    <mergeCell ref="H6:Q6"/>
    <mergeCell ref="C31:Q32"/>
    <mergeCell ref="H5:J5"/>
    <mergeCell ref="B2:R4"/>
  </mergeCells>
  <conditionalFormatting sqref="C7">
    <cfRule type="expression" dxfId="115" priority="26">
      <formula>$D$7=FALSE</formula>
    </cfRule>
    <cfRule type="expression" dxfId="114" priority="50">
      <formula>$D$7=TRUE</formula>
    </cfRule>
  </conditionalFormatting>
  <conditionalFormatting sqref="C10">
    <cfRule type="expression" dxfId="113" priority="24">
      <formula>$D$10=FALSE</formula>
    </cfRule>
    <cfRule type="expression" dxfId="112" priority="48">
      <formula>$D$10=TRUE</formula>
    </cfRule>
  </conditionalFormatting>
  <conditionalFormatting sqref="C11">
    <cfRule type="expression" dxfId="111" priority="23">
      <formula>$D$11=FALSE</formula>
    </cfRule>
    <cfRule type="expression" dxfId="110" priority="47">
      <formula>$D$11=TRUE</formula>
    </cfRule>
  </conditionalFormatting>
  <conditionalFormatting sqref="C12">
    <cfRule type="expression" dxfId="109" priority="22">
      <formula>$D$12=FALSE</formula>
    </cfRule>
    <cfRule type="expression" dxfId="108" priority="46">
      <formula>$D$12=TRUE</formula>
    </cfRule>
  </conditionalFormatting>
  <conditionalFormatting sqref="C13">
    <cfRule type="expression" dxfId="107" priority="21">
      <formula>$D$13=FALSE</formula>
    </cfRule>
    <cfRule type="expression" dxfId="106" priority="45">
      <formula>$D$13=TRUE</formula>
    </cfRule>
  </conditionalFormatting>
  <conditionalFormatting sqref="C14">
    <cfRule type="expression" dxfId="105" priority="20">
      <formula>$D$14=FALSE</formula>
    </cfRule>
    <cfRule type="expression" dxfId="104" priority="44">
      <formula>$D$14=TRUE</formula>
    </cfRule>
  </conditionalFormatting>
  <conditionalFormatting sqref="C15">
    <cfRule type="expression" dxfId="103" priority="19">
      <formula>$D$15=FALSE</formula>
    </cfRule>
    <cfRule type="expression" dxfId="102" priority="43">
      <formula>$D$15=TRUE</formula>
    </cfRule>
  </conditionalFormatting>
  <conditionalFormatting sqref="C16">
    <cfRule type="expression" dxfId="101" priority="18">
      <formula>$D$16=FALSE</formula>
    </cfRule>
    <cfRule type="expression" dxfId="100" priority="42">
      <formula>$D$16=TRUE</formula>
    </cfRule>
  </conditionalFormatting>
  <conditionalFormatting sqref="C17">
    <cfRule type="expression" dxfId="99" priority="17">
      <formula>$D$17=FALSE</formula>
    </cfRule>
    <cfRule type="expression" dxfId="98" priority="41">
      <formula>$D$17=TRUE</formula>
    </cfRule>
  </conditionalFormatting>
  <conditionalFormatting sqref="C18">
    <cfRule type="expression" dxfId="97" priority="16">
      <formula>$D$18=FALSE</formula>
    </cfRule>
    <cfRule type="expression" dxfId="96" priority="40">
      <formula>$D$18=TRUE</formula>
    </cfRule>
  </conditionalFormatting>
  <conditionalFormatting sqref="C19">
    <cfRule type="expression" dxfId="95" priority="15">
      <formula>$D$19=FALSE</formula>
    </cfRule>
    <cfRule type="expression" dxfId="94" priority="39">
      <formula>$D$19=TRUE</formula>
    </cfRule>
  </conditionalFormatting>
  <conditionalFormatting sqref="C20">
    <cfRule type="expression" dxfId="93" priority="14">
      <formula>$D$20=FALSE</formula>
    </cfRule>
    <cfRule type="expression" dxfId="92" priority="38">
      <formula>$D$20=TRUE</formula>
    </cfRule>
  </conditionalFormatting>
  <conditionalFormatting sqref="C21">
    <cfRule type="expression" dxfId="91" priority="13">
      <formula>$D$21=FALSE</formula>
    </cfRule>
    <cfRule type="expression" dxfId="90" priority="37">
      <formula>$D$21=TRUE</formula>
    </cfRule>
  </conditionalFormatting>
  <conditionalFormatting sqref="C22">
    <cfRule type="expression" dxfId="89" priority="12">
      <formula>$D$22=FALSE</formula>
    </cfRule>
    <cfRule type="expression" dxfId="88" priority="36">
      <formula>$D$22=TRUE</formula>
    </cfRule>
  </conditionalFormatting>
  <conditionalFormatting sqref="C23">
    <cfRule type="expression" dxfId="87" priority="11">
      <formula>$D$23=FALSE</formula>
    </cfRule>
    <cfRule type="expression" dxfId="86" priority="34">
      <formula>$D$23=TRUE</formula>
    </cfRule>
  </conditionalFormatting>
  <conditionalFormatting sqref="C24">
    <cfRule type="expression" dxfId="85" priority="10">
      <formula>$D$24=FALSE</formula>
    </cfRule>
    <cfRule type="expression" dxfId="84" priority="33">
      <formula>$D$24=TRUE</formula>
    </cfRule>
  </conditionalFormatting>
  <conditionalFormatting sqref="C25">
    <cfRule type="expression" dxfId="83" priority="9">
      <formula>$D$25=FALSE</formula>
    </cfRule>
    <cfRule type="expression" dxfId="82" priority="32">
      <formula>$D$25=TRUE</formula>
    </cfRule>
  </conditionalFormatting>
  <conditionalFormatting sqref="C26">
    <cfRule type="expression" dxfId="81" priority="8">
      <formula>$D$26=FALSE</formula>
    </cfRule>
    <cfRule type="expression" dxfId="80" priority="31">
      <formula>$D$26=TRUE</formula>
    </cfRule>
  </conditionalFormatting>
  <conditionalFormatting sqref="C27">
    <cfRule type="expression" dxfId="79" priority="7">
      <formula>$D$27=FALSE</formula>
    </cfRule>
    <cfRule type="expression" dxfId="78" priority="30">
      <formula>$D$27=TRUE</formula>
    </cfRule>
  </conditionalFormatting>
  <conditionalFormatting sqref="C28">
    <cfRule type="expression" dxfId="77" priority="6">
      <formula>$D$28=FALSE</formula>
    </cfRule>
    <cfRule type="expression" dxfId="76" priority="29">
      <formula>$D$28=TRUE</formula>
    </cfRule>
  </conditionalFormatting>
  <conditionalFormatting sqref="C29">
    <cfRule type="expression" dxfId="75" priority="5">
      <formula>$D$29=FALSE</formula>
    </cfRule>
    <cfRule type="expression" dxfId="74" priority="28">
      <formula>$D$29=TRUE</formula>
    </cfRule>
  </conditionalFormatting>
  <conditionalFormatting sqref="C31">
    <cfRule type="dataBar" priority="75">
      <dataBar>
        <cfvo type="min"/>
        <cfvo type="num" val="1"/>
        <color theme="9" tint="0.59999389629810485"/>
      </dataBar>
      <extLst>
        <ext xmlns:x14="http://schemas.microsoft.com/office/spreadsheetml/2009/9/main" uri="{B025F937-C7B1-47D3-B67F-A62EFF666E3E}">
          <x14:id>{F57A2792-4C0E-40BF-8CE4-F84CB3CD21B0}</x14:id>
        </ext>
      </extLst>
    </cfRule>
  </conditionalFormatting>
  <conditionalFormatting sqref="C9">
    <cfRule type="expression" dxfId="73" priority="3">
      <formula>$D$9=FALSE</formula>
    </cfRule>
    <cfRule type="expression" dxfId="72" priority="4">
      <formula>$D$9=TRUE</formula>
    </cfRule>
  </conditionalFormatting>
  <conditionalFormatting sqref="C8">
    <cfRule type="expression" dxfId="71" priority="1">
      <formula>$D$8=FALSE</formula>
    </cfRule>
    <cfRule type="expression" dxfId="70" priority="2">
      <formula>$D$8=TRUE</formula>
    </cfRule>
  </conditionalFormatting>
  <dataValidations count="3">
    <dataValidation type="list" allowBlank="1" showInputMessage="1" showErrorMessage="1" sqref="K26:K27 M7:M9 I7:I18 K7:K13 O7:O9 Q7:Q9 I20 K20 I23:I28" xr:uid="{EFE048FD-76DB-411A-869B-8725FC031103}">
      <formula1>$H$40:$H$41</formula1>
    </dataValidation>
    <dataValidation type="list" allowBlank="1" showInputMessage="1" showErrorMessage="1" sqref="I19 K19 I21 K21" xr:uid="{76B20903-EF8B-4800-84D0-CEF133A9C97F}">
      <formula1>$I$40:$I$41</formula1>
    </dataValidation>
    <dataValidation type="list" allowBlank="1" showInputMessage="1" showErrorMessage="1" sqref="I22" xr:uid="{DD7B4BB8-3823-48AC-82A2-4F24DA16E616}">
      <formula1>$J$40:$J$43</formula1>
    </dataValidation>
  </dataValidations>
  <hyperlinks>
    <hyperlink ref="C7" r:id="rId1" xr:uid="{21123675-4FD8-456A-B5E7-7CC7BC1FED30}"/>
    <hyperlink ref="C8" r:id="rId2" xr:uid="{5BCE0586-6F7B-41F3-A793-0542D1C0BFE6}"/>
    <hyperlink ref="C10" r:id="rId3" display="Teflon bar clean and condition" xr:uid="{56ED935D-2CB5-43FC-861E-E0D55EA2A289}"/>
    <hyperlink ref="C11" r:id="rId4" display="Cooling bar and chiller check" xr:uid="{F8E83C21-360E-4909-B816-EA8DBA3BFB24}"/>
    <hyperlink ref="C12" r:id="rId5" display="Glue dam wear and lubrication" xr:uid="{0573E245-F36D-48D5-A791-3AC4D38183A3}"/>
    <hyperlink ref="C13" r:id="rId6" display="Incline belt check" xr:uid="{9D8164CD-640A-471A-B9C4-A18A932B6321}"/>
    <hyperlink ref="C14:C15" r:id="rId7" display="Glue gap check MCF" xr:uid="{12186EB8-9632-4B59-B7F8-CE95D0D919D7}"/>
    <hyperlink ref="C19" r:id="rId8" xr:uid="{B7A69309-F45B-4248-8792-0F4A93931487}"/>
    <hyperlink ref="C20" r:id="rId9" xr:uid="{6F7C0271-22EE-4DC9-A816-B1F3F5974216}"/>
    <hyperlink ref="C21" r:id="rId10" xr:uid="{8FAF2EE9-BCD2-465C-8C86-0B7C91B174DF}"/>
    <hyperlink ref="C23" r:id="rId11" xr:uid="{7FCBE662-7C70-4D52-8EDF-DE1F2C27F208}"/>
    <hyperlink ref="C24" r:id="rId12" xr:uid="{9850D8DA-C608-42EF-BEBE-C4C6BEDAE493}"/>
    <hyperlink ref="C25" r:id="rId13" xr:uid="{F8043E41-1716-46D5-B7C2-F8BE98076F73}"/>
    <hyperlink ref="C26" r:id="rId14" xr:uid="{DAAD2E21-913F-4F7F-A7CC-9043B8867D03}"/>
    <hyperlink ref="C27" r:id="rId15" xr:uid="{7BD440A5-CC38-4470-89B9-99B964001ABB}"/>
    <hyperlink ref="C28" r:id="rId16" xr:uid="{4576ABAD-A80E-4A2F-97A0-8B9D948AD0BA}"/>
    <hyperlink ref="C29" r:id="rId17" xr:uid="{19A0B8AE-E1A7-4B0B-9EEF-2D1FF06A4BD6}"/>
    <hyperlink ref="C22" r:id="rId18" xr:uid="{FE01D8D2-7DF0-4684-8192-7D92DF708DC6}"/>
    <hyperlink ref="C16:C18" r:id="rId19" display="Steam pressure check MCF" xr:uid="{86871E27-D066-4061-B0AB-38BE3AB9598C}"/>
    <hyperlink ref="C9" r:id="rId20" xr:uid="{94B5CE37-B9C4-48F2-AC23-BE37492482E1}"/>
  </hyperlinks>
  <pageMargins left="0.7" right="0.7" top="0.75" bottom="0.75" header="0.3" footer="0.3"/>
  <pageSetup paperSize="9" orientation="portrait" r:id="rId21"/>
  <drawing r:id="rId22"/>
  <legacyDrawing r:id="rId23"/>
  <mc:AlternateContent xmlns:mc="http://schemas.openxmlformats.org/markup-compatibility/2006">
    <mc:Choice Requires="x14">
      <controls>
        <mc:AlternateContent xmlns:mc="http://schemas.openxmlformats.org/markup-compatibility/2006">
          <mc:Choice Requires="x14">
            <control shapeId="3074" r:id="rId24" name="Check Box 2">
              <controlPr defaultSize="0" autoFill="0" autoLine="0" autoPict="0">
                <anchor moveWithCells="1">
                  <from>
                    <xdr:col>3</xdr:col>
                    <xdr:colOff>215900</xdr:colOff>
                    <xdr:row>6</xdr:row>
                    <xdr:rowOff>25400</xdr:rowOff>
                  </from>
                  <to>
                    <xdr:col>3</xdr:col>
                    <xdr:colOff>520700</xdr:colOff>
                    <xdr:row>6</xdr:row>
                    <xdr:rowOff>254000</xdr:rowOff>
                  </to>
                </anchor>
              </controlPr>
            </control>
          </mc:Choice>
        </mc:AlternateContent>
        <mc:AlternateContent xmlns:mc="http://schemas.openxmlformats.org/markup-compatibility/2006">
          <mc:Choice Requires="x14">
            <control shapeId="3075" r:id="rId25" name="Check Box 3">
              <controlPr defaultSize="0" autoFill="0" autoLine="0" autoPict="0">
                <anchor moveWithCells="1">
                  <from>
                    <xdr:col>3</xdr:col>
                    <xdr:colOff>215900</xdr:colOff>
                    <xdr:row>7</xdr:row>
                    <xdr:rowOff>25400</xdr:rowOff>
                  </from>
                  <to>
                    <xdr:col>3</xdr:col>
                    <xdr:colOff>520700</xdr:colOff>
                    <xdr:row>7</xdr:row>
                    <xdr:rowOff>254000</xdr:rowOff>
                  </to>
                </anchor>
              </controlPr>
            </control>
          </mc:Choice>
        </mc:AlternateContent>
        <mc:AlternateContent xmlns:mc="http://schemas.openxmlformats.org/markup-compatibility/2006">
          <mc:Choice Requires="x14">
            <control shapeId="3076" r:id="rId26" name="Check Box 4">
              <controlPr defaultSize="0" autoFill="0" autoLine="0" autoPict="0">
                <anchor moveWithCells="1">
                  <from>
                    <xdr:col>3</xdr:col>
                    <xdr:colOff>215900</xdr:colOff>
                    <xdr:row>9</xdr:row>
                    <xdr:rowOff>25400</xdr:rowOff>
                  </from>
                  <to>
                    <xdr:col>3</xdr:col>
                    <xdr:colOff>520700</xdr:colOff>
                    <xdr:row>9</xdr:row>
                    <xdr:rowOff>254000</xdr:rowOff>
                  </to>
                </anchor>
              </controlPr>
            </control>
          </mc:Choice>
        </mc:AlternateContent>
        <mc:AlternateContent xmlns:mc="http://schemas.openxmlformats.org/markup-compatibility/2006">
          <mc:Choice Requires="x14">
            <control shapeId="3077" r:id="rId27" name="Check Box 5">
              <controlPr defaultSize="0" autoFill="0" autoLine="0" autoPict="0">
                <anchor moveWithCells="1">
                  <from>
                    <xdr:col>3</xdr:col>
                    <xdr:colOff>215900</xdr:colOff>
                    <xdr:row>10</xdr:row>
                    <xdr:rowOff>25400</xdr:rowOff>
                  </from>
                  <to>
                    <xdr:col>3</xdr:col>
                    <xdr:colOff>520700</xdr:colOff>
                    <xdr:row>10</xdr:row>
                    <xdr:rowOff>254000</xdr:rowOff>
                  </to>
                </anchor>
              </controlPr>
            </control>
          </mc:Choice>
        </mc:AlternateContent>
        <mc:AlternateContent xmlns:mc="http://schemas.openxmlformats.org/markup-compatibility/2006">
          <mc:Choice Requires="x14">
            <control shapeId="3078" r:id="rId28" name="Check Box 6">
              <controlPr defaultSize="0" autoFill="0" autoLine="0" autoPict="0">
                <anchor moveWithCells="1">
                  <from>
                    <xdr:col>3</xdr:col>
                    <xdr:colOff>215900</xdr:colOff>
                    <xdr:row>11</xdr:row>
                    <xdr:rowOff>25400</xdr:rowOff>
                  </from>
                  <to>
                    <xdr:col>3</xdr:col>
                    <xdr:colOff>520700</xdr:colOff>
                    <xdr:row>11</xdr:row>
                    <xdr:rowOff>254000</xdr:rowOff>
                  </to>
                </anchor>
              </controlPr>
            </control>
          </mc:Choice>
        </mc:AlternateContent>
        <mc:AlternateContent xmlns:mc="http://schemas.openxmlformats.org/markup-compatibility/2006">
          <mc:Choice Requires="x14">
            <control shapeId="3079" r:id="rId29" name="Check Box 7">
              <controlPr defaultSize="0" autoFill="0" autoLine="0" autoPict="0">
                <anchor moveWithCells="1">
                  <from>
                    <xdr:col>3</xdr:col>
                    <xdr:colOff>215900</xdr:colOff>
                    <xdr:row>12</xdr:row>
                    <xdr:rowOff>25400</xdr:rowOff>
                  </from>
                  <to>
                    <xdr:col>3</xdr:col>
                    <xdr:colOff>520700</xdr:colOff>
                    <xdr:row>12</xdr:row>
                    <xdr:rowOff>254000</xdr:rowOff>
                  </to>
                </anchor>
              </controlPr>
            </control>
          </mc:Choice>
        </mc:AlternateContent>
        <mc:AlternateContent xmlns:mc="http://schemas.openxmlformats.org/markup-compatibility/2006">
          <mc:Choice Requires="x14">
            <control shapeId="3080" r:id="rId30" name="Check Box 8">
              <controlPr defaultSize="0" autoFill="0" autoLine="0" autoPict="0">
                <anchor moveWithCells="1">
                  <from>
                    <xdr:col>3</xdr:col>
                    <xdr:colOff>215900</xdr:colOff>
                    <xdr:row>13</xdr:row>
                    <xdr:rowOff>25400</xdr:rowOff>
                  </from>
                  <to>
                    <xdr:col>3</xdr:col>
                    <xdr:colOff>520700</xdr:colOff>
                    <xdr:row>13</xdr:row>
                    <xdr:rowOff>254000</xdr:rowOff>
                  </to>
                </anchor>
              </controlPr>
            </control>
          </mc:Choice>
        </mc:AlternateContent>
        <mc:AlternateContent xmlns:mc="http://schemas.openxmlformats.org/markup-compatibility/2006">
          <mc:Choice Requires="x14">
            <control shapeId="3081" r:id="rId31" name="Check Box 9">
              <controlPr defaultSize="0" autoFill="0" autoLine="0" autoPict="0">
                <anchor moveWithCells="1">
                  <from>
                    <xdr:col>3</xdr:col>
                    <xdr:colOff>215900</xdr:colOff>
                    <xdr:row>14</xdr:row>
                    <xdr:rowOff>25400</xdr:rowOff>
                  </from>
                  <to>
                    <xdr:col>3</xdr:col>
                    <xdr:colOff>520700</xdr:colOff>
                    <xdr:row>14</xdr:row>
                    <xdr:rowOff>254000</xdr:rowOff>
                  </to>
                </anchor>
              </controlPr>
            </control>
          </mc:Choice>
        </mc:AlternateContent>
        <mc:AlternateContent xmlns:mc="http://schemas.openxmlformats.org/markup-compatibility/2006">
          <mc:Choice Requires="x14">
            <control shapeId="3082" r:id="rId32" name="Check Box 10">
              <controlPr defaultSize="0" autoFill="0" autoLine="0" autoPict="0">
                <anchor moveWithCells="1">
                  <from>
                    <xdr:col>3</xdr:col>
                    <xdr:colOff>215900</xdr:colOff>
                    <xdr:row>15</xdr:row>
                    <xdr:rowOff>25400</xdr:rowOff>
                  </from>
                  <to>
                    <xdr:col>3</xdr:col>
                    <xdr:colOff>520700</xdr:colOff>
                    <xdr:row>15</xdr:row>
                    <xdr:rowOff>254000</xdr:rowOff>
                  </to>
                </anchor>
              </controlPr>
            </control>
          </mc:Choice>
        </mc:AlternateContent>
        <mc:AlternateContent xmlns:mc="http://schemas.openxmlformats.org/markup-compatibility/2006">
          <mc:Choice Requires="x14">
            <control shapeId="3083" r:id="rId33" name="Check Box 11">
              <controlPr defaultSize="0" autoFill="0" autoLine="0" autoPict="0">
                <anchor moveWithCells="1">
                  <from>
                    <xdr:col>3</xdr:col>
                    <xdr:colOff>215900</xdr:colOff>
                    <xdr:row>16</xdr:row>
                    <xdr:rowOff>25400</xdr:rowOff>
                  </from>
                  <to>
                    <xdr:col>3</xdr:col>
                    <xdr:colOff>520700</xdr:colOff>
                    <xdr:row>16</xdr:row>
                    <xdr:rowOff>254000</xdr:rowOff>
                  </to>
                </anchor>
              </controlPr>
            </control>
          </mc:Choice>
        </mc:AlternateContent>
        <mc:AlternateContent xmlns:mc="http://schemas.openxmlformats.org/markup-compatibility/2006">
          <mc:Choice Requires="x14">
            <control shapeId="3084" r:id="rId34" name="Check Box 12">
              <controlPr defaultSize="0" autoFill="0" autoLine="0" autoPict="0">
                <anchor moveWithCells="1">
                  <from>
                    <xdr:col>3</xdr:col>
                    <xdr:colOff>215900</xdr:colOff>
                    <xdr:row>17</xdr:row>
                    <xdr:rowOff>25400</xdr:rowOff>
                  </from>
                  <to>
                    <xdr:col>3</xdr:col>
                    <xdr:colOff>520700</xdr:colOff>
                    <xdr:row>17</xdr:row>
                    <xdr:rowOff>254000</xdr:rowOff>
                  </to>
                </anchor>
              </controlPr>
            </control>
          </mc:Choice>
        </mc:AlternateContent>
        <mc:AlternateContent xmlns:mc="http://schemas.openxmlformats.org/markup-compatibility/2006">
          <mc:Choice Requires="x14">
            <control shapeId="3085" r:id="rId35" name="Check Box 13">
              <controlPr defaultSize="0" autoFill="0" autoLine="0" autoPict="0">
                <anchor moveWithCells="1">
                  <from>
                    <xdr:col>3</xdr:col>
                    <xdr:colOff>215900</xdr:colOff>
                    <xdr:row>18</xdr:row>
                    <xdr:rowOff>25400</xdr:rowOff>
                  </from>
                  <to>
                    <xdr:col>3</xdr:col>
                    <xdr:colOff>520700</xdr:colOff>
                    <xdr:row>18</xdr:row>
                    <xdr:rowOff>254000</xdr:rowOff>
                  </to>
                </anchor>
              </controlPr>
            </control>
          </mc:Choice>
        </mc:AlternateContent>
        <mc:AlternateContent xmlns:mc="http://schemas.openxmlformats.org/markup-compatibility/2006">
          <mc:Choice Requires="x14">
            <control shapeId="3086" r:id="rId36" name="Check Box 14">
              <controlPr defaultSize="0" autoFill="0" autoLine="0" autoPict="0">
                <anchor moveWithCells="1">
                  <from>
                    <xdr:col>3</xdr:col>
                    <xdr:colOff>215900</xdr:colOff>
                    <xdr:row>19</xdr:row>
                    <xdr:rowOff>25400</xdr:rowOff>
                  </from>
                  <to>
                    <xdr:col>3</xdr:col>
                    <xdr:colOff>520700</xdr:colOff>
                    <xdr:row>19</xdr:row>
                    <xdr:rowOff>254000</xdr:rowOff>
                  </to>
                </anchor>
              </controlPr>
            </control>
          </mc:Choice>
        </mc:AlternateContent>
        <mc:AlternateContent xmlns:mc="http://schemas.openxmlformats.org/markup-compatibility/2006">
          <mc:Choice Requires="x14">
            <control shapeId="3087" r:id="rId37" name="Check Box 15">
              <controlPr defaultSize="0" autoFill="0" autoLine="0" autoPict="0">
                <anchor moveWithCells="1">
                  <from>
                    <xdr:col>3</xdr:col>
                    <xdr:colOff>215900</xdr:colOff>
                    <xdr:row>20</xdr:row>
                    <xdr:rowOff>25400</xdr:rowOff>
                  </from>
                  <to>
                    <xdr:col>3</xdr:col>
                    <xdr:colOff>520700</xdr:colOff>
                    <xdr:row>20</xdr:row>
                    <xdr:rowOff>254000</xdr:rowOff>
                  </to>
                </anchor>
              </controlPr>
            </control>
          </mc:Choice>
        </mc:AlternateContent>
        <mc:AlternateContent xmlns:mc="http://schemas.openxmlformats.org/markup-compatibility/2006">
          <mc:Choice Requires="x14">
            <control shapeId="3088" r:id="rId38" name="Check Box 16">
              <controlPr defaultSize="0" autoFill="0" autoLine="0" autoPict="0">
                <anchor moveWithCells="1">
                  <from>
                    <xdr:col>3</xdr:col>
                    <xdr:colOff>215900</xdr:colOff>
                    <xdr:row>21</xdr:row>
                    <xdr:rowOff>25400</xdr:rowOff>
                  </from>
                  <to>
                    <xdr:col>3</xdr:col>
                    <xdr:colOff>520700</xdr:colOff>
                    <xdr:row>21</xdr:row>
                    <xdr:rowOff>254000</xdr:rowOff>
                  </to>
                </anchor>
              </controlPr>
            </control>
          </mc:Choice>
        </mc:AlternateContent>
        <mc:AlternateContent xmlns:mc="http://schemas.openxmlformats.org/markup-compatibility/2006">
          <mc:Choice Requires="x14">
            <control shapeId="3089" r:id="rId39" name="Check Box 17">
              <controlPr defaultSize="0" autoFill="0" autoLine="0" autoPict="0">
                <anchor moveWithCells="1">
                  <from>
                    <xdr:col>3</xdr:col>
                    <xdr:colOff>215900</xdr:colOff>
                    <xdr:row>22</xdr:row>
                    <xdr:rowOff>25400</xdr:rowOff>
                  </from>
                  <to>
                    <xdr:col>3</xdr:col>
                    <xdr:colOff>520700</xdr:colOff>
                    <xdr:row>22</xdr:row>
                    <xdr:rowOff>254000</xdr:rowOff>
                  </to>
                </anchor>
              </controlPr>
            </control>
          </mc:Choice>
        </mc:AlternateContent>
        <mc:AlternateContent xmlns:mc="http://schemas.openxmlformats.org/markup-compatibility/2006">
          <mc:Choice Requires="x14">
            <control shapeId="3090" r:id="rId40" name="Check Box 18">
              <controlPr defaultSize="0" autoFill="0" autoLine="0" autoPict="0">
                <anchor moveWithCells="1">
                  <from>
                    <xdr:col>3</xdr:col>
                    <xdr:colOff>215900</xdr:colOff>
                    <xdr:row>23</xdr:row>
                    <xdr:rowOff>25400</xdr:rowOff>
                  </from>
                  <to>
                    <xdr:col>3</xdr:col>
                    <xdr:colOff>520700</xdr:colOff>
                    <xdr:row>23</xdr:row>
                    <xdr:rowOff>254000</xdr:rowOff>
                  </to>
                </anchor>
              </controlPr>
            </control>
          </mc:Choice>
        </mc:AlternateContent>
        <mc:AlternateContent xmlns:mc="http://schemas.openxmlformats.org/markup-compatibility/2006">
          <mc:Choice Requires="x14">
            <control shapeId="3091" r:id="rId41" name="Check Box 19">
              <controlPr defaultSize="0" autoFill="0" autoLine="0" autoPict="0">
                <anchor moveWithCells="1">
                  <from>
                    <xdr:col>3</xdr:col>
                    <xdr:colOff>215900</xdr:colOff>
                    <xdr:row>24</xdr:row>
                    <xdr:rowOff>25400</xdr:rowOff>
                  </from>
                  <to>
                    <xdr:col>3</xdr:col>
                    <xdr:colOff>520700</xdr:colOff>
                    <xdr:row>24</xdr:row>
                    <xdr:rowOff>254000</xdr:rowOff>
                  </to>
                </anchor>
              </controlPr>
            </control>
          </mc:Choice>
        </mc:AlternateContent>
        <mc:AlternateContent xmlns:mc="http://schemas.openxmlformats.org/markup-compatibility/2006">
          <mc:Choice Requires="x14">
            <control shapeId="3092" r:id="rId42" name="Check Box 20">
              <controlPr defaultSize="0" autoFill="0" autoLine="0" autoPict="0">
                <anchor moveWithCells="1">
                  <from>
                    <xdr:col>3</xdr:col>
                    <xdr:colOff>215900</xdr:colOff>
                    <xdr:row>25</xdr:row>
                    <xdr:rowOff>25400</xdr:rowOff>
                  </from>
                  <to>
                    <xdr:col>3</xdr:col>
                    <xdr:colOff>520700</xdr:colOff>
                    <xdr:row>25</xdr:row>
                    <xdr:rowOff>254000</xdr:rowOff>
                  </to>
                </anchor>
              </controlPr>
            </control>
          </mc:Choice>
        </mc:AlternateContent>
        <mc:AlternateContent xmlns:mc="http://schemas.openxmlformats.org/markup-compatibility/2006">
          <mc:Choice Requires="x14">
            <control shapeId="3093" r:id="rId43" name="Check Box 21">
              <controlPr defaultSize="0" autoFill="0" autoLine="0" autoPict="0">
                <anchor moveWithCells="1">
                  <from>
                    <xdr:col>3</xdr:col>
                    <xdr:colOff>215900</xdr:colOff>
                    <xdr:row>26</xdr:row>
                    <xdr:rowOff>25400</xdr:rowOff>
                  </from>
                  <to>
                    <xdr:col>3</xdr:col>
                    <xdr:colOff>520700</xdr:colOff>
                    <xdr:row>26</xdr:row>
                    <xdr:rowOff>254000</xdr:rowOff>
                  </to>
                </anchor>
              </controlPr>
            </control>
          </mc:Choice>
        </mc:AlternateContent>
        <mc:AlternateContent xmlns:mc="http://schemas.openxmlformats.org/markup-compatibility/2006">
          <mc:Choice Requires="x14">
            <control shapeId="3094" r:id="rId44" name="Check Box 22">
              <controlPr defaultSize="0" autoFill="0" autoLine="0" autoPict="0">
                <anchor moveWithCells="1">
                  <from>
                    <xdr:col>3</xdr:col>
                    <xdr:colOff>215900</xdr:colOff>
                    <xdr:row>27</xdr:row>
                    <xdr:rowOff>25400</xdr:rowOff>
                  </from>
                  <to>
                    <xdr:col>3</xdr:col>
                    <xdr:colOff>520700</xdr:colOff>
                    <xdr:row>27</xdr:row>
                    <xdr:rowOff>254000</xdr:rowOff>
                  </to>
                </anchor>
              </controlPr>
            </control>
          </mc:Choice>
        </mc:AlternateContent>
        <mc:AlternateContent xmlns:mc="http://schemas.openxmlformats.org/markup-compatibility/2006">
          <mc:Choice Requires="x14">
            <control shapeId="3095" r:id="rId45" name="Check Box 23">
              <controlPr defaultSize="0" autoFill="0" autoLine="0" autoPict="0">
                <anchor moveWithCells="1">
                  <from>
                    <xdr:col>3</xdr:col>
                    <xdr:colOff>215900</xdr:colOff>
                    <xdr:row>28</xdr:row>
                    <xdr:rowOff>25400</xdr:rowOff>
                  </from>
                  <to>
                    <xdr:col>3</xdr:col>
                    <xdr:colOff>520700</xdr:colOff>
                    <xdr:row>28</xdr:row>
                    <xdr:rowOff>254000</xdr:rowOff>
                  </to>
                </anchor>
              </controlPr>
            </control>
          </mc:Choice>
        </mc:AlternateContent>
        <mc:AlternateContent xmlns:mc="http://schemas.openxmlformats.org/markup-compatibility/2006">
          <mc:Choice Requires="x14">
            <control shapeId="3097" r:id="rId46" name="Check Box 25">
              <controlPr defaultSize="0" autoFill="0" autoLine="0" autoPict="0">
                <anchor moveWithCells="1">
                  <from>
                    <xdr:col>3</xdr:col>
                    <xdr:colOff>228600</xdr:colOff>
                    <xdr:row>8</xdr:row>
                    <xdr:rowOff>25400</xdr:rowOff>
                  </from>
                  <to>
                    <xdr:col>3</xdr:col>
                    <xdr:colOff>533400</xdr:colOff>
                    <xdr:row>8</xdr:row>
                    <xdr:rowOff>241300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F57A2792-4C0E-40BF-8CE4-F84CB3CD21B0}">
            <x14:dataBar minLength="0" maxLength="100" gradient="0">
              <x14:cfvo type="autoMin"/>
              <x14:cfvo type="num">
                <xm:f>1</xm:f>
              </x14:cfvo>
              <x14:negativeFillColor rgb="FFFF0000"/>
              <x14:axisColor rgb="FF000000"/>
            </x14:dataBar>
          </x14:cfRule>
          <xm:sqref>C31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C51B8-DC05-47F7-BE42-05ACF3A22AF9}">
  <sheetPr codeName="Sheet4"/>
  <dimension ref="B1:U43"/>
  <sheetViews>
    <sheetView showGridLines="0" topLeftCell="B1" zoomScale="80" zoomScaleNormal="80" workbookViewId="0">
      <selection activeCell="B2" sqref="B2:O4"/>
    </sheetView>
  </sheetViews>
  <sheetFormatPr baseColWidth="10" defaultColWidth="8.83203125" defaultRowHeight="15" x14ac:dyDescent="0.2"/>
  <cols>
    <col min="1" max="1" width="10.33203125" customWidth="1"/>
    <col min="2" max="2" width="18.6640625" customWidth="1"/>
    <col min="3" max="3" width="61.6640625" customWidth="1"/>
    <col min="4" max="4" width="10.83203125" customWidth="1"/>
    <col min="5" max="5" width="17.6640625" customWidth="1"/>
    <col min="6" max="6" width="19.33203125" bestFit="1" customWidth="1"/>
    <col min="7" max="7" width="12.6640625" style="1" customWidth="1"/>
    <col min="8" max="13" width="14.6640625" style="1" customWidth="1"/>
    <col min="14" max="14" width="14.6640625" customWidth="1"/>
    <col min="15" max="15" width="2.6640625" customWidth="1"/>
    <col min="20" max="20" width="8.83203125" hidden="1" customWidth="1"/>
  </cols>
  <sheetData>
    <row r="1" spans="2:21" ht="40.5" customHeight="1" x14ac:dyDescent="0.2"/>
    <row r="2" spans="2:21" ht="15" customHeight="1" x14ac:dyDescent="0.2">
      <c r="B2" s="162" t="s">
        <v>12</v>
      </c>
      <c r="C2" s="162"/>
      <c r="D2" s="162"/>
      <c r="E2" s="162"/>
      <c r="F2" s="162"/>
      <c r="G2" s="162"/>
      <c r="H2" s="162"/>
      <c r="I2" s="162"/>
      <c r="J2" s="162"/>
      <c r="K2" s="162"/>
      <c r="L2" s="162"/>
      <c r="M2" s="162"/>
      <c r="N2" s="162"/>
      <c r="O2" s="162"/>
    </row>
    <row r="3" spans="2:21" ht="15" customHeight="1" x14ac:dyDescent="0.2">
      <c r="B3" s="162"/>
      <c r="C3" s="162"/>
      <c r="D3" s="162"/>
      <c r="E3" s="162"/>
      <c r="F3" s="162"/>
      <c r="G3" s="162"/>
      <c r="H3" s="162"/>
      <c r="I3" s="162"/>
      <c r="J3" s="162"/>
      <c r="K3" s="162"/>
      <c r="L3" s="162"/>
      <c r="M3" s="162"/>
      <c r="N3" s="162"/>
      <c r="O3" s="162"/>
    </row>
    <row r="4" spans="2:21" ht="15" customHeight="1" x14ac:dyDescent="0.2">
      <c r="B4" s="162"/>
      <c r="C4" s="162"/>
      <c r="D4" s="162"/>
      <c r="E4" s="162"/>
      <c r="F4" s="162"/>
      <c r="G4" s="162"/>
      <c r="H4" s="162"/>
      <c r="I4" s="162"/>
      <c r="J4" s="162"/>
      <c r="K4" s="162"/>
      <c r="L4" s="162"/>
      <c r="M4" s="162"/>
      <c r="N4" s="162"/>
      <c r="O4" s="162"/>
    </row>
    <row r="5" spans="2:21" ht="15" customHeight="1" x14ac:dyDescent="0.2">
      <c r="C5" s="66">
        <v>0.43430555555555556</v>
      </c>
      <c r="D5" s="65"/>
      <c r="E5" s="65"/>
      <c r="F5" s="65"/>
      <c r="G5" s="65"/>
      <c r="H5" s="65"/>
      <c r="I5" s="65"/>
      <c r="J5" s="65"/>
      <c r="K5" s="65"/>
      <c r="L5" s="65"/>
      <c r="M5" s="65"/>
      <c r="N5" s="65"/>
    </row>
    <row r="6" spans="2:21" ht="34.5" customHeight="1" x14ac:dyDescent="0.45">
      <c r="C6" s="63">
        <f ca="1">NOW()</f>
        <v>45934.716609143521</v>
      </c>
      <c r="E6" s="161" t="s">
        <v>273</v>
      </c>
      <c r="F6" s="161"/>
      <c r="G6" s="161"/>
      <c r="H6" s="161"/>
      <c r="I6" s="70"/>
    </row>
    <row r="7" spans="2:21" ht="9" customHeight="1" x14ac:dyDescent="0.2">
      <c r="C7" s="64"/>
    </row>
    <row r="8" spans="2:21" ht="27" x14ac:dyDescent="0.35">
      <c r="C8" s="4" t="s">
        <v>9</v>
      </c>
      <c r="D8" s="9" t="s">
        <v>10</v>
      </c>
      <c r="E8" s="9" t="s">
        <v>13</v>
      </c>
      <c r="F8" s="35" t="s">
        <v>280</v>
      </c>
      <c r="G8" s="9" t="s">
        <v>11</v>
      </c>
      <c r="H8" s="175" t="s">
        <v>281</v>
      </c>
      <c r="I8" s="175"/>
      <c r="J8" s="175"/>
      <c r="K8" s="175"/>
      <c r="L8" s="175"/>
      <c r="M8" s="175"/>
    </row>
    <row r="9" spans="2:21" ht="22" x14ac:dyDescent="0.3">
      <c r="C9" s="19" t="s">
        <v>56</v>
      </c>
      <c r="D9" s="6" t="b">
        <v>1</v>
      </c>
      <c r="E9" s="1" t="s">
        <v>276</v>
      </c>
      <c r="F9" s="95">
        <v>45870.329467592594</v>
      </c>
      <c r="G9" s="54"/>
      <c r="H9" s="45" t="s">
        <v>271</v>
      </c>
      <c r="I9" s="54"/>
      <c r="J9" s="45" t="s">
        <v>272</v>
      </c>
      <c r="K9" s="54"/>
      <c r="L9" s="58"/>
      <c r="M9" s="58"/>
      <c r="T9" s="72">
        <f>IF(D7=TRUE,1,0)</f>
        <v>0</v>
      </c>
      <c r="U9" s="72"/>
    </row>
    <row r="10" spans="2:21" ht="22" x14ac:dyDescent="0.3">
      <c r="C10" s="10" t="s">
        <v>41</v>
      </c>
      <c r="D10" s="6" t="b">
        <v>0</v>
      </c>
      <c r="E10" s="1" t="s">
        <v>276</v>
      </c>
      <c r="F10" s="95"/>
      <c r="G10" s="54"/>
      <c r="H10" s="45" t="s">
        <v>212</v>
      </c>
      <c r="I10" s="62"/>
      <c r="J10" s="45" t="s">
        <v>213</v>
      </c>
      <c r="K10" s="62"/>
      <c r="L10" s="45" t="s">
        <v>232</v>
      </c>
      <c r="M10" s="62"/>
      <c r="N10" s="67"/>
      <c r="T10" s="72">
        <f t="shared" ref="T10:T19" si="0">IF(D8=TRUE,1,0)</f>
        <v>0</v>
      </c>
      <c r="U10" s="72"/>
    </row>
    <row r="11" spans="2:21" ht="22" x14ac:dyDescent="0.3">
      <c r="C11" s="10" t="s">
        <v>42</v>
      </c>
      <c r="D11" s="6" t="b">
        <v>0</v>
      </c>
      <c r="E11" s="1" t="s">
        <v>276</v>
      </c>
      <c r="F11" s="95"/>
      <c r="G11" s="54"/>
      <c r="H11" s="45" t="s">
        <v>212</v>
      </c>
      <c r="I11" s="62"/>
      <c r="J11" s="45" t="s">
        <v>213</v>
      </c>
      <c r="K11" s="62"/>
      <c r="L11" s="45" t="s">
        <v>232</v>
      </c>
      <c r="M11" s="62"/>
      <c r="T11" s="72">
        <f t="shared" si="0"/>
        <v>1</v>
      </c>
      <c r="U11" s="72"/>
    </row>
    <row r="12" spans="2:21" ht="22" x14ac:dyDescent="0.3">
      <c r="C12" s="10" t="s">
        <v>47</v>
      </c>
      <c r="D12" s="6" t="b">
        <v>0</v>
      </c>
      <c r="E12" s="1" t="s">
        <v>276</v>
      </c>
      <c r="F12" s="95"/>
      <c r="G12" s="54"/>
      <c r="H12" s="45" t="s">
        <v>274</v>
      </c>
      <c r="I12" s="71"/>
      <c r="J12" s="56"/>
      <c r="K12" s="56"/>
      <c r="L12" s="68"/>
      <c r="M12" s="68"/>
      <c r="T12" s="72">
        <f t="shared" si="0"/>
        <v>0</v>
      </c>
      <c r="U12" s="72"/>
    </row>
    <row r="13" spans="2:21" ht="22" x14ac:dyDescent="0.3">
      <c r="C13" s="10" t="s">
        <v>48</v>
      </c>
      <c r="D13" s="6" t="b">
        <v>0</v>
      </c>
      <c r="E13" s="1" t="s">
        <v>276</v>
      </c>
      <c r="F13" s="95"/>
      <c r="G13" s="54"/>
      <c r="H13" s="45" t="s">
        <v>274</v>
      </c>
      <c r="I13" s="71"/>
      <c r="J13" s="56"/>
      <c r="K13" s="56"/>
      <c r="L13" s="68"/>
      <c r="M13" s="68"/>
      <c r="T13" s="72">
        <f t="shared" si="0"/>
        <v>0</v>
      </c>
      <c r="U13" s="72"/>
    </row>
    <row r="14" spans="2:21" ht="22" x14ac:dyDescent="0.3">
      <c r="C14" s="10" t="s">
        <v>49</v>
      </c>
      <c r="D14" s="6" t="b">
        <v>0</v>
      </c>
      <c r="E14" s="1" t="s">
        <v>276</v>
      </c>
      <c r="F14" s="95"/>
      <c r="G14" s="54"/>
      <c r="H14" s="45" t="s">
        <v>274</v>
      </c>
      <c r="I14" s="71"/>
      <c r="J14" s="56"/>
      <c r="K14" s="56"/>
      <c r="L14" s="68"/>
      <c r="M14" s="68"/>
      <c r="T14" s="72">
        <f t="shared" si="0"/>
        <v>0</v>
      </c>
      <c r="U14" s="72"/>
    </row>
    <row r="15" spans="2:21" ht="22" x14ac:dyDescent="0.3">
      <c r="C15" s="10" t="s">
        <v>43</v>
      </c>
      <c r="D15" s="6" t="b">
        <v>0</v>
      </c>
      <c r="E15" s="1" t="s">
        <v>276</v>
      </c>
      <c r="F15" s="95"/>
      <c r="G15" s="54"/>
      <c r="H15" s="45" t="s">
        <v>239</v>
      </c>
      <c r="I15" s="54"/>
      <c r="J15" s="56"/>
      <c r="K15" s="56"/>
      <c r="L15" s="68"/>
      <c r="M15" s="68"/>
      <c r="T15" s="72">
        <f t="shared" si="0"/>
        <v>0</v>
      </c>
      <c r="U15" s="72"/>
    </row>
    <row r="16" spans="2:21" ht="22" x14ac:dyDescent="0.3">
      <c r="C16" s="10" t="s">
        <v>44</v>
      </c>
      <c r="D16" s="6" t="b">
        <v>0</v>
      </c>
      <c r="E16" s="1" t="s">
        <v>276</v>
      </c>
      <c r="F16" s="95"/>
      <c r="G16" s="54"/>
      <c r="H16" s="45" t="s">
        <v>239</v>
      </c>
      <c r="I16" s="54"/>
      <c r="J16" s="56"/>
      <c r="K16" s="56"/>
      <c r="L16" s="68"/>
      <c r="M16" s="68"/>
      <c r="T16" s="72">
        <f t="shared" si="0"/>
        <v>0</v>
      </c>
      <c r="U16" s="72"/>
    </row>
    <row r="17" spans="3:21" ht="22" x14ac:dyDescent="0.3">
      <c r="C17" s="10" t="s">
        <v>198</v>
      </c>
      <c r="D17" s="6" t="b">
        <v>0</v>
      </c>
      <c r="E17" s="1" t="s">
        <v>276</v>
      </c>
      <c r="F17" s="95"/>
      <c r="G17" s="54"/>
      <c r="H17" s="45" t="s">
        <v>239</v>
      </c>
      <c r="I17" s="54"/>
      <c r="J17" s="56"/>
      <c r="K17" s="56"/>
      <c r="L17" s="68"/>
      <c r="M17" s="68"/>
      <c r="T17" s="72">
        <f t="shared" si="0"/>
        <v>0</v>
      </c>
      <c r="U17" s="72"/>
    </row>
    <row r="18" spans="3:21" ht="22" x14ac:dyDescent="0.3">
      <c r="C18" s="10" t="s">
        <v>46</v>
      </c>
      <c r="D18" s="6" t="b">
        <v>0</v>
      </c>
      <c r="E18" s="1" t="s">
        <v>276</v>
      </c>
      <c r="F18" s="95"/>
      <c r="G18" s="54"/>
      <c r="H18" s="45" t="s">
        <v>239</v>
      </c>
      <c r="I18" s="54"/>
      <c r="J18" s="56"/>
      <c r="K18" s="56"/>
      <c r="L18" s="68"/>
      <c r="M18" s="68"/>
      <c r="T18" s="72">
        <f t="shared" si="0"/>
        <v>0</v>
      </c>
      <c r="U18" s="72"/>
    </row>
    <row r="19" spans="3:21" ht="22" x14ac:dyDescent="0.3">
      <c r="C19" s="19" t="s">
        <v>40</v>
      </c>
      <c r="D19" s="6" t="b">
        <v>0</v>
      </c>
      <c r="E19" s="1" t="s">
        <v>276</v>
      </c>
      <c r="F19" s="95"/>
      <c r="G19" s="54"/>
      <c r="H19" s="45" t="s">
        <v>239</v>
      </c>
      <c r="I19" s="54"/>
      <c r="J19" s="56"/>
      <c r="K19" s="56"/>
      <c r="L19" s="69"/>
      <c r="M19" s="69"/>
      <c r="T19" s="72">
        <f t="shared" si="0"/>
        <v>0</v>
      </c>
      <c r="U19" s="72"/>
    </row>
    <row r="20" spans="3:21" ht="20" thickBot="1" x14ac:dyDescent="0.3">
      <c r="C20" s="3"/>
      <c r="D20" s="3"/>
      <c r="E20" s="3"/>
      <c r="F20" s="3"/>
    </row>
    <row r="21" spans="3:21" ht="18.75" customHeight="1" x14ac:dyDescent="0.2">
      <c r="C21" s="169">
        <f>IFERROR(COUNTIF(D9:D19, TRUE)/COUNTA(D9:D19),0)</f>
        <v>9.0909090909090912E-2</v>
      </c>
      <c r="D21" s="170"/>
      <c r="E21" s="170"/>
      <c r="F21" s="170"/>
      <c r="G21" s="170"/>
      <c r="H21" s="170"/>
      <c r="I21" s="170"/>
      <c r="J21" s="170"/>
      <c r="K21" s="170"/>
      <c r="L21" s="170"/>
      <c r="M21" s="171"/>
    </row>
    <row r="22" spans="3:21" ht="18.75" customHeight="1" thickBot="1" x14ac:dyDescent="0.25">
      <c r="C22" s="172"/>
      <c r="D22" s="173"/>
      <c r="E22" s="173"/>
      <c r="F22" s="173"/>
      <c r="G22" s="173"/>
      <c r="H22" s="173"/>
      <c r="I22" s="173"/>
      <c r="J22" s="173"/>
      <c r="K22" s="173"/>
      <c r="L22" s="173"/>
      <c r="M22" s="174"/>
    </row>
    <row r="23" spans="3:21" ht="19" x14ac:dyDescent="0.25">
      <c r="C23" s="3"/>
      <c r="D23" s="3"/>
      <c r="E23" s="3"/>
      <c r="F23" s="3"/>
    </row>
    <row r="24" spans="3:21" ht="19" x14ac:dyDescent="0.25">
      <c r="C24" s="3"/>
      <c r="D24" s="3"/>
      <c r="E24" s="3"/>
      <c r="F24" s="3"/>
    </row>
    <row r="25" spans="3:21" ht="19" x14ac:dyDescent="0.25">
      <c r="C25" s="3"/>
      <c r="D25" s="3"/>
      <c r="E25" s="3"/>
      <c r="F25" s="3"/>
    </row>
    <row r="26" spans="3:21" ht="19" x14ac:dyDescent="0.25">
      <c r="C26" s="3"/>
      <c r="D26" s="3"/>
      <c r="E26" s="3"/>
      <c r="F26" s="3"/>
    </row>
    <row r="27" spans="3:21" ht="19" x14ac:dyDescent="0.25">
      <c r="D27" s="3"/>
      <c r="E27" s="3"/>
      <c r="F27" s="3"/>
    </row>
    <row r="28" spans="3:21" ht="19" x14ac:dyDescent="0.25">
      <c r="D28" s="3"/>
      <c r="E28" s="3"/>
      <c r="F28" s="3"/>
    </row>
    <row r="40" spans="7:11" x14ac:dyDescent="0.2">
      <c r="G40" s="73"/>
      <c r="H40" s="73"/>
      <c r="I40" s="73"/>
      <c r="J40" s="73"/>
      <c r="K40" s="73"/>
    </row>
    <row r="41" spans="7:11" x14ac:dyDescent="0.2">
      <c r="G41" s="73" t="s">
        <v>240</v>
      </c>
      <c r="H41" s="73"/>
      <c r="I41" s="73" t="s">
        <v>10</v>
      </c>
      <c r="J41" s="73"/>
      <c r="K41" s="73"/>
    </row>
    <row r="42" spans="7:11" x14ac:dyDescent="0.2">
      <c r="G42" s="73" t="s">
        <v>245</v>
      </c>
      <c r="H42" s="73"/>
      <c r="I42" s="73" t="s">
        <v>219</v>
      </c>
      <c r="J42" s="73"/>
      <c r="K42" s="73"/>
    </row>
    <row r="43" spans="7:11" x14ac:dyDescent="0.2">
      <c r="G43" s="73"/>
      <c r="H43" s="73"/>
      <c r="I43" s="73"/>
      <c r="J43" s="73"/>
      <c r="K43" s="73"/>
    </row>
  </sheetData>
  <mergeCells count="4">
    <mergeCell ref="E6:H6"/>
    <mergeCell ref="C21:M22"/>
    <mergeCell ref="H8:M8"/>
    <mergeCell ref="B2:O4"/>
  </mergeCells>
  <phoneticPr fontId="17" type="noConversion"/>
  <conditionalFormatting sqref="C9">
    <cfRule type="expression" dxfId="69" priority="11">
      <formula>$D$9=FALSE</formula>
    </cfRule>
    <cfRule type="expression" dxfId="68" priority="23">
      <formula>$D$9=TRUE</formula>
    </cfRule>
  </conditionalFormatting>
  <conditionalFormatting sqref="C10">
    <cfRule type="expression" dxfId="67" priority="10">
      <formula>$D$10=FALSE</formula>
    </cfRule>
    <cfRule type="expression" dxfId="66" priority="22">
      <formula>$D$10=TRUE</formula>
    </cfRule>
  </conditionalFormatting>
  <conditionalFormatting sqref="C11">
    <cfRule type="expression" dxfId="65" priority="9">
      <formula>$D$11=FALSE</formula>
    </cfRule>
    <cfRule type="expression" dxfId="64" priority="21">
      <formula>$D$11=TRUE</formula>
    </cfRule>
  </conditionalFormatting>
  <conditionalFormatting sqref="C12">
    <cfRule type="expression" dxfId="63" priority="8">
      <formula>$D$12=FALSE</formula>
    </cfRule>
    <cfRule type="expression" dxfId="62" priority="20">
      <formula>$D$12=TRUE</formula>
    </cfRule>
  </conditionalFormatting>
  <conditionalFormatting sqref="C13">
    <cfRule type="expression" dxfId="61" priority="7">
      <formula>$D$13=FALSE</formula>
    </cfRule>
    <cfRule type="expression" dxfId="60" priority="19">
      <formula>$D$13=TRUE</formula>
    </cfRule>
  </conditionalFormatting>
  <conditionalFormatting sqref="C14">
    <cfRule type="expression" dxfId="59" priority="6">
      <formula>$D$14=FALSE</formula>
    </cfRule>
    <cfRule type="expression" dxfId="58" priority="18">
      <formula>$D$14=TRUE</formula>
    </cfRule>
  </conditionalFormatting>
  <conditionalFormatting sqref="C15">
    <cfRule type="expression" dxfId="57" priority="5">
      <formula>$D$15=FALSE</formula>
    </cfRule>
    <cfRule type="expression" dxfId="56" priority="17">
      <formula>$D$15=TRUE</formula>
    </cfRule>
  </conditionalFormatting>
  <conditionalFormatting sqref="C16">
    <cfRule type="expression" dxfId="55" priority="4">
      <formula>$D$16=FALSE</formula>
    </cfRule>
    <cfRule type="expression" dxfId="54" priority="16">
      <formula>$D$16=TRUE</formula>
    </cfRule>
  </conditionalFormatting>
  <conditionalFormatting sqref="C17">
    <cfRule type="expression" dxfId="53" priority="3">
      <formula>$D$17=FALSE</formula>
    </cfRule>
    <cfRule type="expression" dxfId="52" priority="15">
      <formula>$D$17=TRUE</formula>
    </cfRule>
  </conditionalFormatting>
  <conditionalFormatting sqref="C18">
    <cfRule type="expression" dxfId="51" priority="2">
      <formula>$D$18=FALSE</formula>
    </cfRule>
    <cfRule type="expression" dxfId="50" priority="14">
      <formula>$D$18=TRUE</formula>
    </cfRule>
  </conditionalFormatting>
  <conditionalFormatting sqref="C19">
    <cfRule type="expression" dxfId="49" priority="1">
      <formula>$D$19=FALSE</formula>
    </cfRule>
    <cfRule type="expression" dxfId="48" priority="13">
      <formula>$D$19=TRUE</formula>
    </cfRule>
  </conditionalFormatting>
  <conditionalFormatting sqref="C21">
    <cfRule type="dataBar" priority="12">
      <dataBar>
        <cfvo type="min"/>
        <cfvo type="num" val="1"/>
        <color theme="9" tint="0.59999389629810485"/>
      </dataBar>
      <extLst>
        <ext xmlns:x14="http://schemas.microsoft.com/office/spreadsheetml/2009/9/main" uri="{B025F937-C7B1-47D3-B67F-A62EFF666E3E}">
          <x14:id>{03166658-FDB3-4030-865B-BE013FFEA9A9}</x14:id>
        </ext>
      </extLst>
    </cfRule>
  </conditionalFormatting>
  <dataValidations count="3">
    <dataValidation type="list" allowBlank="1" showInputMessage="1" showErrorMessage="1" sqref="N10" xr:uid="{2A06BFDC-070C-4554-9C23-BC3A70E63A8C}">
      <formula1>$H$37:$H$38</formula1>
    </dataValidation>
    <dataValidation type="list" allowBlank="1" showInputMessage="1" showErrorMessage="1" sqref="I10:I11 I17:I19 M10:M11 K10:K11" xr:uid="{8EE91E67-99BD-4C74-9097-000949BB830B}">
      <formula1>$G$41:$G$42</formula1>
    </dataValidation>
    <dataValidation type="list" allowBlank="1" showInputMessage="1" showErrorMessage="1" sqref="I15:I16" xr:uid="{F8BE2C22-FE7D-4807-9127-F52EF99888FC}">
      <formula1>$I$41:$I$42</formula1>
    </dataValidation>
  </dataValidations>
  <hyperlinks>
    <hyperlink ref="C9" r:id="rId1" xr:uid="{822FF19A-5A21-42E6-BB6F-ACD69BF7096A}"/>
    <hyperlink ref="C19" r:id="rId2" xr:uid="{55838A06-2DA3-4A04-8401-25B7AD7E3DC6}"/>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nchor moveWithCells="1">
                  <from>
                    <xdr:col>3</xdr:col>
                    <xdr:colOff>215900</xdr:colOff>
                    <xdr:row>7</xdr:row>
                    <xdr:rowOff>330200</xdr:rowOff>
                  </from>
                  <to>
                    <xdr:col>3</xdr:col>
                    <xdr:colOff>609600</xdr:colOff>
                    <xdr:row>9</xdr:row>
                    <xdr:rowOff>0</xdr:rowOff>
                  </to>
                </anchor>
              </controlPr>
            </control>
          </mc:Choice>
        </mc:AlternateContent>
        <mc:AlternateContent xmlns:mc="http://schemas.openxmlformats.org/markup-compatibility/2006">
          <mc:Choice Requires="x14">
            <control shapeId="5141" r:id="rId6" name="Check Box 21">
              <controlPr defaultSize="0" autoFill="0" autoLine="0" autoPict="0">
                <anchor moveWithCells="1">
                  <from>
                    <xdr:col>3</xdr:col>
                    <xdr:colOff>215900</xdr:colOff>
                    <xdr:row>8</xdr:row>
                    <xdr:rowOff>292100</xdr:rowOff>
                  </from>
                  <to>
                    <xdr:col>3</xdr:col>
                    <xdr:colOff>609600</xdr:colOff>
                    <xdr:row>9</xdr:row>
                    <xdr:rowOff>254000</xdr:rowOff>
                  </to>
                </anchor>
              </controlPr>
            </control>
          </mc:Choice>
        </mc:AlternateContent>
        <mc:AlternateContent xmlns:mc="http://schemas.openxmlformats.org/markup-compatibility/2006">
          <mc:Choice Requires="x14">
            <control shapeId="5142" r:id="rId7" name="Check Box 22">
              <controlPr defaultSize="0" autoFill="0" autoLine="0" autoPict="0">
                <anchor moveWithCells="1">
                  <from>
                    <xdr:col>3</xdr:col>
                    <xdr:colOff>215900</xdr:colOff>
                    <xdr:row>9</xdr:row>
                    <xdr:rowOff>292100</xdr:rowOff>
                  </from>
                  <to>
                    <xdr:col>3</xdr:col>
                    <xdr:colOff>609600</xdr:colOff>
                    <xdr:row>10</xdr:row>
                    <xdr:rowOff>254000</xdr:rowOff>
                  </to>
                </anchor>
              </controlPr>
            </control>
          </mc:Choice>
        </mc:AlternateContent>
        <mc:AlternateContent xmlns:mc="http://schemas.openxmlformats.org/markup-compatibility/2006">
          <mc:Choice Requires="x14">
            <control shapeId="5143" r:id="rId8" name="Check Box 23">
              <controlPr defaultSize="0" autoFill="0" autoLine="0" autoPict="0">
                <anchor moveWithCells="1">
                  <from>
                    <xdr:col>3</xdr:col>
                    <xdr:colOff>215900</xdr:colOff>
                    <xdr:row>10</xdr:row>
                    <xdr:rowOff>292100</xdr:rowOff>
                  </from>
                  <to>
                    <xdr:col>3</xdr:col>
                    <xdr:colOff>609600</xdr:colOff>
                    <xdr:row>11</xdr:row>
                    <xdr:rowOff>254000</xdr:rowOff>
                  </to>
                </anchor>
              </controlPr>
            </control>
          </mc:Choice>
        </mc:AlternateContent>
        <mc:AlternateContent xmlns:mc="http://schemas.openxmlformats.org/markup-compatibility/2006">
          <mc:Choice Requires="x14">
            <control shapeId="5144" r:id="rId9" name="Check Box 24">
              <controlPr defaultSize="0" autoFill="0" autoLine="0" autoPict="0">
                <anchor moveWithCells="1">
                  <from>
                    <xdr:col>3</xdr:col>
                    <xdr:colOff>215900</xdr:colOff>
                    <xdr:row>10</xdr:row>
                    <xdr:rowOff>292100</xdr:rowOff>
                  </from>
                  <to>
                    <xdr:col>3</xdr:col>
                    <xdr:colOff>609600</xdr:colOff>
                    <xdr:row>11</xdr:row>
                    <xdr:rowOff>254000</xdr:rowOff>
                  </to>
                </anchor>
              </controlPr>
            </control>
          </mc:Choice>
        </mc:AlternateContent>
        <mc:AlternateContent xmlns:mc="http://schemas.openxmlformats.org/markup-compatibility/2006">
          <mc:Choice Requires="x14">
            <control shapeId="5145" r:id="rId10" name="Check Box 25">
              <controlPr defaultSize="0" autoFill="0" autoLine="0" autoPict="0">
                <anchor moveWithCells="1">
                  <from>
                    <xdr:col>3</xdr:col>
                    <xdr:colOff>215900</xdr:colOff>
                    <xdr:row>11</xdr:row>
                    <xdr:rowOff>292100</xdr:rowOff>
                  </from>
                  <to>
                    <xdr:col>3</xdr:col>
                    <xdr:colOff>609600</xdr:colOff>
                    <xdr:row>12</xdr:row>
                    <xdr:rowOff>254000</xdr:rowOff>
                  </to>
                </anchor>
              </controlPr>
            </control>
          </mc:Choice>
        </mc:AlternateContent>
        <mc:AlternateContent xmlns:mc="http://schemas.openxmlformats.org/markup-compatibility/2006">
          <mc:Choice Requires="x14">
            <control shapeId="5146" r:id="rId11" name="Check Box 26">
              <controlPr defaultSize="0" autoFill="0" autoLine="0" autoPict="0">
                <anchor moveWithCells="1">
                  <from>
                    <xdr:col>3</xdr:col>
                    <xdr:colOff>215900</xdr:colOff>
                    <xdr:row>12</xdr:row>
                    <xdr:rowOff>292100</xdr:rowOff>
                  </from>
                  <to>
                    <xdr:col>3</xdr:col>
                    <xdr:colOff>609600</xdr:colOff>
                    <xdr:row>13</xdr:row>
                    <xdr:rowOff>254000</xdr:rowOff>
                  </to>
                </anchor>
              </controlPr>
            </control>
          </mc:Choice>
        </mc:AlternateContent>
        <mc:AlternateContent xmlns:mc="http://schemas.openxmlformats.org/markup-compatibility/2006">
          <mc:Choice Requires="x14">
            <control shapeId="5147" r:id="rId12" name="Check Box 27">
              <controlPr defaultSize="0" autoFill="0" autoLine="0" autoPict="0">
                <anchor moveWithCells="1">
                  <from>
                    <xdr:col>3</xdr:col>
                    <xdr:colOff>215900</xdr:colOff>
                    <xdr:row>13</xdr:row>
                    <xdr:rowOff>292100</xdr:rowOff>
                  </from>
                  <to>
                    <xdr:col>3</xdr:col>
                    <xdr:colOff>609600</xdr:colOff>
                    <xdr:row>14</xdr:row>
                    <xdr:rowOff>254000</xdr:rowOff>
                  </to>
                </anchor>
              </controlPr>
            </control>
          </mc:Choice>
        </mc:AlternateContent>
        <mc:AlternateContent xmlns:mc="http://schemas.openxmlformats.org/markup-compatibility/2006">
          <mc:Choice Requires="x14">
            <control shapeId="5148" r:id="rId13" name="Check Box 28">
              <controlPr defaultSize="0" autoFill="0" autoLine="0" autoPict="0">
                <anchor moveWithCells="1">
                  <from>
                    <xdr:col>3</xdr:col>
                    <xdr:colOff>215900</xdr:colOff>
                    <xdr:row>13</xdr:row>
                    <xdr:rowOff>292100</xdr:rowOff>
                  </from>
                  <to>
                    <xdr:col>3</xdr:col>
                    <xdr:colOff>609600</xdr:colOff>
                    <xdr:row>14</xdr:row>
                    <xdr:rowOff>254000</xdr:rowOff>
                  </to>
                </anchor>
              </controlPr>
            </control>
          </mc:Choice>
        </mc:AlternateContent>
        <mc:AlternateContent xmlns:mc="http://schemas.openxmlformats.org/markup-compatibility/2006">
          <mc:Choice Requires="x14">
            <control shapeId="5149" r:id="rId14" name="Check Box 29">
              <controlPr defaultSize="0" autoFill="0" autoLine="0" autoPict="0">
                <anchor moveWithCells="1">
                  <from>
                    <xdr:col>3</xdr:col>
                    <xdr:colOff>215900</xdr:colOff>
                    <xdr:row>14</xdr:row>
                    <xdr:rowOff>292100</xdr:rowOff>
                  </from>
                  <to>
                    <xdr:col>3</xdr:col>
                    <xdr:colOff>609600</xdr:colOff>
                    <xdr:row>15</xdr:row>
                    <xdr:rowOff>254000</xdr:rowOff>
                  </to>
                </anchor>
              </controlPr>
            </control>
          </mc:Choice>
        </mc:AlternateContent>
        <mc:AlternateContent xmlns:mc="http://schemas.openxmlformats.org/markup-compatibility/2006">
          <mc:Choice Requires="x14">
            <control shapeId="5150" r:id="rId15" name="Check Box 30">
              <controlPr defaultSize="0" autoFill="0" autoLine="0" autoPict="0">
                <anchor moveWithCells="1">
                  <from>
                    <xdr:col>3</xdr:col>
                    <xdr:colOff>215900</xdr:colOff>
                    <xdr:row>15</xdr:row>
                    <xdr:rowOff>292100</xdr:rowOff>
                  </from>
                  <to>
                    <xdr:col>3</xdr:col>
                    <xdr:colOff>609600</xdr:colOff>
                    <xdr:row>16</xdr:row>
                    <xdr:rowOff>254000</xdr:rowOff>
                  </to>
                </anchor>
              </controlPr>
            </control>
          </mc:Choice>
        </mc:AlternateContent>
        <mc:AlternateContent xmlns:mc="http://schemas.openxmlformats.org/markup-compatibility/2006">
          <mc:Choice Requires="x14">
            <control shapeId="5151" r:id="rId16" name="Check Box 31">
              <controlPr defaultSize="0" autoFill="0" autoLine="0" autoPict="0">
                <anchor moveWithCells="1">
                  <from>
                    <xdr:col>3</xdr:col>
                    <xdr:colOff>215900</xdr:colOff>
                    <xdr:row>16</xdr:row>
                    <xdr:rowOff>292100</xdr:rowOff>
                  </from>
                  <to>
                    <xdr:col>3</xdr:col>
                    <xdr:colOff>609600</xdr:colOff>
                    <xdr:row>17</xdr:row>
                    <xdr:rowOff>254000</xdr:rowOff>
                  </to>
                </anchor>
              </controlPr>
            </control>
          </mc:Choice>
        </mc:AlternateContent>
        <mc:AlternateContent xmlns:mc="http://schemas.openxmlformats.org/markup-compatibility/2006">
          <mc:Choice Requires="x14">
            <control shapeId="5152" r:id="rId17" name="Check Box 32">
              <controlPr defaultSize="0" autoFill="0" autoLine="0" autoPict="0">
                <anchor moveWithCells="1">
                  <from>
                    <xdr:col>3</xdr:col>
                    <xdr:colOff>215900</xdr:colOff>
                    <xdr:row>16</xdr:row>
                    <xdr:rowOff>292100</xdr:rowOff>
                  </from>
                  <to>
                    <xdr:col>3</xdr:col>
                    <xdr:colOff>609600</xdr:colOff>
                    <xdr:row>17</xdr:row>
                    <xdr:rowOff>254000</xdr:rowOff>
                  </to>
                </anchor>
              </controlPr>
            </control>
          </mc:Choice>
        </mc:AlternateContent>
        <mc:AlternateContent xmlns:mc="http://schemas.openxmlformats.org/markup-compatibility/2006">
          <mc:Choice Requires="x14">
            <control shapeId="5153" r:id="rId18" name="Check Box 33">
              <controlPr defaultSize="0" autoFill="0" autoLine="0" autoPict="0">
                <anchor moveWithCells="1">
                  <from>
                    <xdr:col>3</xdr:col>
                    <xdr:colOff>215900</xdr:colOff>
                    <xdr:row>17</xdr:row>
                    <xdr:rowOff>292100</xdr:rowOff>
                  </from>
                  <to>
                    <xdr:col>3</xdr:col>
                    <xdr:colOff>609600</xdr:colOff>
                    <xdr:row>18</xdr:row>
                    <xdr:rowOff>254000</xdr:rowOff>
                  </to>
                </anchor>
              </controlPr>
            </control>
          </mc:Choice>
        </mc:AlternateContent>
        <mc:AlternateContent xmlns:mc="http://schemas.openxmlformats.org/markup-compatibility/2006">
          <mc:Choice Requires="x14">
            <control shapeId="5154" r:id="rId19" name="Check Box 34">
              <controlPr defaultSize="0" autoFill="0" autoLine="0" autoPict="0">
                <anchor moveWithCells="1">
                  <from>
                    <xdr:col>3</xdr:col>
                    <xdr:colOff>215900</xdr:colOff>
                    <xdr:row>17</xdr:row>
                    <xdr:rowOff>292100</xdr:rowOff>
                  </from>
                  <to>
                    <xdr:col>3</xdr:col>
                    <xdr:colOff>609600</xdr:colOff>
                    <xdr:row>18</xdr:row>
                    <xdr:rowOff>254000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3166658-FDB3-4030-865B-BE013FFEA9A9}">
            <x14:dataBar minLength="0" maxLength="100" gradient="0">
              <x14:cfvo type="autoMin"/>
              <x14:cfvo type="num">
                <xm:f>1</xm:f>
              </x14:cfvo>
              <x14:negativeFillColor rgb="FFFF0000"/>
              <x14:axisColor rgb="FF000000"/>
            </x14:dataBar>
          </x14:cfRule>
          <xm:sqref>C21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A201C-FA9D-4639-91E0-B3A5E5996C2D}">
  <sheetPr codeName="Sheet5"/>
  <dimension ref="B1:T26"/>
  <sheetViews>
    <sheetView showGridLines="0" zoomScaleNormal="100" workbookViewId="0">
      <selection activeCell="B2" sqref="B2:K4"/>
    </sheetView>
  </sheetViews>
  <sheetFormatPr baseColWidth="10" defaultColWidth="8.83203125" defaultRowHeight="15" x14ac:dyDescent="0.2"/>
  <cols>
    <col min="1" max="1" width="15.5" customWidth="1"/>
    <col min="2" max="2" width="18.6640625" customWidth="1"/>
    <col min="3" max="3" width="61.6640625" customWidth="1"/>
    <col min="4" max="4" width="10.6640625" customWidth="1"/>
    <col min="5" max="5" width="17.6640625" customWidth="1"/>
    <col min="6" max="6" width="18.83203125" bestFit="1" customWidth="1"/>
    <col min="7" max="7" width="17.6640625" customWidth="1"/>
    <col min="8" max="8" width="12.6640625" style="1" customWidth="1"/>
    <col min="9" max="10" width="33.5" style="1" customWidth="1"/>
    <col min="11" max="11" width="2.6640625" customWidth="1"/>
    <col min="20" max="20" width="0" hidden="1" customWidth="1"/>
    <col min="21" max="21" width="8.83203125" customWidth="1"/>
  </cols>
  <sheetData>
    <row r="1" spans="2:20" ht="24.75" customHeight="1" x14ac:dyDescent="0.2"/>
    <row r="2" spans="2:20" ht="15" customHeight="1" x14ac:dyDescent="0.2">
      <c r="B2" s="162" t="s">
        <v>12</v>
      </c>
      <c r="C2" s="162"/>
      <c r="D2" s="162"/>
      <c r="E2" s="162"/>
      <c r="F2" s="162"/>
      <c r="G2" s="162"/>
      <c r="H2" s="162"/>
      <c r="I2" s="162"/>
      <c r="J2" s="162"/>
      <c r="K2" s="162"/>
    </row>
    <row r="3" spans="2:20" ht="15" customHeight="1" x14ac:dyDescent="0.2">
      <c r="B3" s="162"/>
      <c r="C3" s="162"/>
      <c r="D3" s="162"/>
      <c r="E3" s="162"/>
      <c r="F3" s="162"/>
      <c r="G3" s="162"/>
      <c r="H3" s="162"/>
      <c r="I3" s="162"/>
      <c r="J3" s="162"/>
      <c r="K3" s="162"/>
    </row>
    <row r="4" spans="2:20" ht="15" customHeight="1" x14ac:dyDescent="0.2">
      <c r="B4" s="162"/>
      <c r="C4" s="162"/>
      <c r="D4" s="162"/>
      <c r="E4" s="162"/>
      <c r="F4" s="162"/>
      <c r="G4" s="162"/>
      <c r="H4" s="162"/>
      <c r="I4" s="162"/>
      <c r="J4" s="162"/>
      <c r="K4" s="162"/>
    </row>
    <row r="5" spans="2:20" ht="34" x14ac:dyDescent="0.4">
      <c r="C5" s="63">
        <f ca="1">NOW()</f>
        <v>45934.716609143521</v>
      </c>
      <c r="D5" s="15" t="s">
        <v>211</v>
      </c>
    </row>
    <row r="6" spans="2:20" ht="9" customHeight="1" x14ac:dyDescent="0.2">
      <c r="C6" s="64"/>
    </row>
    <row r="7" spans="2:20" ht="26.25" customHeight="1" x14ac:dyDescent="0.35">
      <c r="C7" s="4" t="s">
        <v>9</v>
      </c>
      <c r="D7" s="9" t="s">
        <v>10</v>
      </c>
      <c r="E7" s="9" t="s">
        <v>13</v>
      </c>
      <c r="F7" s="7" t="s">
        <v>282</v>
      </c>
      <c r="G7" s="9" t="s">
        <v>283</v>
      </c>
      <c r="H7" s="9" t="s">
        <v>11</v>
      </c>
      <c r="I7" s="9"/>
      <c r="J7" s="9"/>
    </row>
    <row r="8" spans="2:20" ht="22" x14ac:dyDescent="0.3">
      <c r="C8" s="17" t="s">
        <v>50</v>
      </c>
      <c r="D8" s="6" t="b">
        <v>1</v>
      </c>
      <c r="E8" s="1" t="s">
        <v>53</v>
      </c>
      <c r="F8" s="95"/>
      <c r="G8" s="77"/>
      <c r="H8" s="54"/>
      <c r="I8" s="35"/>
      <c r="J8" s="35"/>
      <c r="T8">
        <f>IF(D8=TRUE,1,0)</f>
        <v>1</v>
      </c>
    </row>
    <row r="9" spans="2:20" ht="22" x14ac:dyDescent="0.3">
      <c r="C9" s="10" t="s">
        <v>51</v>
      </c>
      <c r="D9" s="6" t="b">
        <v>0</v>
      </c>
      <c r="E9" s="1" t="s">
        <v>53</v>
      </c>
      <c r="F9" s="95"/>
      <c r="G9" s="77"/>
      <c r="H9" s="54"/>
      <c r="I9" s="35"/>
      <c r="J9" s="35"/>
      <c r="T9">
        <f t="shared" ref="T9:T24" si="0">IF(D9=TRUE,1,0)</f>
        <v>0</v>
      </c>
    </row>
    <row r="10" spans="2:20" ht="22" x14ac:dyDescent="0.3">
      <c r="C10" s="10" t="s">
        <v>52</v>
      </c>
      <c r="D10" s="6" t="b">
        <v>0</v>
      </c>
      <c r="E10" s="1" t="s">
        <v>53</v>
      </c>
      <c r="F10" s="95"/>
      <c r="G10" s="77"/>
      <c r="H10" s="54"/>
      <c r="I10" s="35"/>
      <c r="J10" s="35"/>
      <c r="T10">
        <f t="shared" si="0"/>
        <v>0</v>
      </c>
    </row>
    <row r="11" spans="2:20" ht="22" x14ac:dyDescent="0.3">
      <c r="C11" s="10" t="s">
        <v>65</v>
      </c>
      <c r="D11" s="6" t="b">
        <v>0</v>
      </c>
      <c r="E11" s="1" t="s">
        <v>53</v>
      </c>
      <c r="F11" s="95"/>
      <c r="G11" s="77"/>
      <c r="H11" s="54"/>
      <c r="I11" s="35"/>
      <c r="J11" s="35"/>
      <c r="T11">
        <f t="shared" si="0"/>
        <v>0</v>
      </c>
    </row>
    <row r="12" spans="2:20" ht="22" x14ac:dyDescent="0.3">
      <c r="C12" s="10" t="s">
        <v>66</v>
      </c>
      <c r="D12" s="6" t="b">
        <v>1</v>
      </c>
      <c r="E12" s="1" t="s">
        <v>53</v>
      </c>
      <c r="F12" s="95"/>
      <c r="G12" s="77"/>
      <c r="H12" s="54"/>
      <c r="I12" s="35"/>
      <c r="J12" s="35"/>
      <c r="T12">
        <f t="shared" si="0"/>
        <v>1</v>
      </c>
    </row>
    <row r="13" spans="2:20" ht="22" x14ac:dyDescent="0.3">
      <c r="C13" s="10" t="s">
        <v>67</v>
      </c>
      <c r="D13" s="6" t="b">
        <v>0</v>
      </c>
      <c r="E13" s="1" t="s">
        <v>53</v>
      </c>
      <c r="F13" s="95"/>
      <c r="G13" s="77"/>
      <c r="H13" s="54"/>
      <c r="I13" s="35"/>
      <c r="J13" s="35"/>
      <c r="T13">
        <f t="shared" si="0"/>
        <v>0</v>
      </c>
    </row>
    <row r="14" spans="2:20" ht="22" x14ac:dyDescent="0.3">
      <c r="C14" s="10" t="s">
        <v>57</v>
      </c>
      <c r="D14" s="6" t="b">
        <v>0</v>
      </c>
      <c r="E14" s="1" t="s">
        <v>53</v>
      </c>
      <c r="F14" s="95"/>
      <c r="G14" s="77"/>
      <c r="H14" s="54"/>
      <c r="I14" s="35"/>
      <c r="J14" s="35"/>
      <c r="T14">
        <f t="shared" si="0"/>
        <v>0</v>
      </c>
    </row>
    <row r="15" spans="2:20" ht="22" x14ac:dyDescent="0.3">
      <c r="C15" s="10" t="s">
        <v>58</v>
      </c>
      <c r="D15" s="6" t="b">
        <v>0</v>
      </c>
      <c r="E15" s="1" t="s">
        <v>53</v>
      </c>
      <c r="F15" s="95"/>
      <c r="G15" s="77"/>
      <c r="H15" s="54"/>
      <c r="I15" s="35"/>
      <c r="J15" s="35"/>
      <c r="T15">
        <f t="shared" si="0"/>
        <v>0</v>
      </c>
    </row>
    <row r="16" spans="2:20" ht="22" x14ac:dyDescent="0.3">
      <c r="C16" s="10" t="s">
        <v>59</v>
      </c>
      <c r="D16" s="6" t="b">
        <v>0</v>
      </c>
      <c r="E16" s="1" t="s">
        <v>53</v>
      </c>
      <c r="F16" s="95"/>
      <c r="G16" s="77"/>
      <c r="H16" s="54"/>
      <c r="I16" s="35"/>
      <c r="J16" s="35"/>
      <c r="T16">
        <f t="shared" si="0"/>
        <v>0</v>
      </c>
    </row>
    <row r="17" spans="3:20" ht="22" x14ac:dyDescent="0.3">
      <c r="C17" s="10" t="s">
        <v>63</v>
      </c>
      <c r="D17" s="6" t="b">
        <v>0</v>
      </c>
      <c r="E17" s="1" t="s">
        <v>53</v>
      </c>
      <c r="F17" s="95"/>
      <c r="G17" s="77"/>
      <c r="H17" s="54"/>
      <c r="I17" s="35"/>
      <c r="J17" s="35"/>
      <c r="T17">
        <f t="shared" si="0"/>
        <v>0</v>
      </c>
    </row>
    <row r="18" spans="3:20" ht="22" x14ac:dyDescent="0.3">
      <c r="C18" s="10" t="s">
        <v>275</v>
      </c>
      <c r="D18" s="6" t="b">
        <v>1</v>
      </c>
      <c r="E18" s="1" t="s">
        <v>54</v>
      </c>
      <c r="F18" s="95">
        <v>45868.478136574071</v>
      </c>
      <c r="G18" s="77">
        <v>45952.478136574071</v>
      </c>
      <c r="H18" s="54"/>
      <c r="I18" s="35"/>
      <c r="J18" s="35"/>
      <c r="T18">
        <f t="shared" si="0"/>
        <v>1</v>
      </c>
    </row>
    <row r="19" spans="3:20" ht="22" x14ac:dyDescent="0.3">
      <c r="C19" s="10" t="s">
        <v>60</v>
      </c>
      <c r="D19" s="6" t="b">
        <v>0</v>
      </c>
      <c r="E19" s="1" t="s">
        <v>54</v>
      </c>
      <c r="F19" s="95"/>
      <c r="G19" s="77"/>
      <c r="H19" s="54"/>
      <c r="I19" s="35"/>
      <c r="J19" s="35"/>
      <c r="T19">
        <f t="shared" si="0"/>
        <v>0</v>
      </c>
    </row>
    <row r="20" spans="3:20" ht="22" x14ac:dyDescent="0.3">
      <c r="C20" s="10" t="s">
        <v>61</v>
      </c>
      <c r="D20" s="6" t="b">
        <v>0</v>
      </c>
      <c r="E20" s="1" t="s">
        <v>54</v>
      </c>
      <c r="F20" s="95"/>
      <c r="G20" s="77"/>
      <c r="H20" s="54"/>
      <c r="I20" s="35"/>
      <c r="J20" s="35"/>
      <c r="T20">
        <f t="shared" si="0"/>
        <v>0</v>
      </c>
    </row>
    <row r="21" spans="3:20" ht="22" x14ac:dyDescent="0.3">
      <c r="C21" s="10" t="s">
        <v>62</v>
      </c>
      <c r="D21" s="6" t="b">
        <v>0</v>
      </c>
      <c r="E21" s="1" t="s">
        <v>54</v>
      </c>
      <c r="F21" s="95"/>
      <c r="G21" s="77"/>
      <c r="H21" s="54"/>
      <c r="I21" s="35"/>
      <c r="J21" s="35"/>
      <c r="T21">
        <f t="shared" si="0"/>
        <v>0</v>
      </c>
    </row>
    <row r="22" spans="3:20" ht="22" x14ac:dyDescent="0.3">
      <c r="C22" s="10" t="s">
        <v>64</v>
      </c>
      <c r="D22" s="6" t="b">
        <v>0</v>
      </c>
      <c r="E22" s="1" t="s">
        <v>54</v>
      </c>
      <c r="F22" s="95"/>
      <c r="G22" s="77"/>
      <c r="H22" s="54"/>
      <c r="I22" s="35"/>
      <c r="J22" s="35"/>
      <c r="T22">
        <f t="shared" si="0"/>
        <v>0</v>
      </c>
    </row>
    <row r="23" spans="3:20" ht="22" x14ac:dyDescent="0.3">
      <c r="C23" s="10" t="s">
        <v>68</v>
      </c>
      <c r="D23" s="6" t="b">
        <v>0</v>
      </c>
      <c r="E23" s="1" t="s">
        <v>70</v>
      </c>
      <c r="F23" s="95"/>
      <c r="G23" s="77"/>
      <c r="H23" s="54"/>
      <c r="I23" s="35"/>
      <c r="J23" s="35"/>
      <c r="T23">
        <f t="shared" si="0"/>
        <v>0</v>
      </c>
    </row>
    <row r="24" spans="3:20" ht="22" x14ac:dyDescent="0.3">
      <c r="C24" s="10" t="s">
        <v>69</v>
      </c>
      <c r="D24" s="6" t="b">
        <v>0</v>
      </c>
      <c r="E24" s="1" t="s">
        <v>70</v>
      </c>
      <c r="F24" s="95"/>
      <c r="G24" s="77"/>
      <c r="H24" s="54"/>
      <c r="I24" s="35"/>
      <c r="J24" s="35"/>
      <c r="T24">
        <f t="shared" si="0"/>
        <v>0</v>
      </c>
    </row>
    <row r="25" spans="3:20" ht="19" x14ac:dyDescent="0.25">
      <c r="C25" s="3"/>
      <c r="D25" s="3"/>
      <c r="E25" s="3"/>
      <c r="F25" s="3"/>
      <c r="G25" s="3"/>
    </row>
    <row r="26" spans="3:20" ht="19" x14ac:dyDescent="0.25">
      <c r="C26" s="3"/>
      <c r="D26" s="3"/>
      <c r="E26" s="3"/>
      <c r="F26" s="3"/>
      <c r="G26" s="3"/>
    </row>
  </sheetData>
  <mergeCells count="1">
    <mergeCell ref="B2:K4"/>
  </mergeCells>
  <phoneticPr fontId="17" type="noConversion"/>
  <conditionalFormatting sqref="C8">
    <cfRule type="expression" dxfId="47" priority="17">
      <formula>$D$8=FALSE</formula>
    </cfRule>
    <cfRule type="expression" dxfId="46" priority="34">
      <formula>$D$8=TRUE</formula>
    </cfRule>
  </conditionalFormatting>
  <conditionalFormatting sqref="C9">
    <cfRule type="expression" dxfId="45" priority="16">
      <formula>$D$9=FALSE</formula>
    </cfRule>
    <cfRule type="expression" dxfId="44" priority="33">
      <formula>$D$9=TRUE</formula>
    </cfRule>
  </conditionalFormatting>
  <conditionalFormatting sqref="C10">
    <cfRule type="expression" dxfId="43" priority="15">
      <formula>$D$10=FALSE</formula>
    </cfRule>
    <cfRule type="expression" dxfId="42" priority="32">
      <formula>$D$10=TRUE</formula>
    </cfRule>
  </conditionalFormatting>
  <conditionalFormatting sqref="C11">
    <cfRule type="expression" dxfId="41" priority="14">
      <formula>$D$11=FALSE</formula>
    </cfRule>
    <cfRule type="expression" dxfId="40" priority="31">
      <formula>$D$11=TRUE</formula>
    </cfRule>
  </conditionalFormatting>
  <conditionalFormatting sqref="C12">
    <cfRule type="expression" dxfId="39" priority="13">
      <formula>$D$12=FALSE</formula>
    </cfRule>
    <cfRule type="expression" dxfId="38" priority="30">
      <formula>$D$12=TRUE</formula>
    </cfRule>
  </conditionalFormatting>
  <conditionalFormatting sqref="C13">
    <cfRule type="expression" dxfId="37" priority="12">
      <formula>$D$13=FALSE</formula>
    </cfRule>
    <cfRule type="expression" dxfId="36" priority="29">
      <formula>$D$13=TRUE</formula>
    </cfRule>
  </conditionalFormatting>
  <conditionalFormatting sqref="C14">
    <cfRule type="expression" dxfId="35" priority="11">
      <formula>$D$14=FALSE</formula>
    </cfRule>
    <cfRule type="expression" dxfId="34" priority="28">
      <formula>$D$14=TRUE</formula>
    </cfRule>
  </conditionalFormatting>
  <conditionalFormatting sqref="C15">
    <cfRule type="expression" dxfId="33" priority="10">
      <formula>$D$15=FALSE</formula>
    </cfRule>
    <cfRule type="expression" dxfId="32" priority="27">
      <formula>$D$15=TRUE</formula>
    </cfRule>
  </conditionalFormatting>
  <conditionalFormatting sqref="C16">
    <cfRule type="expression" dxfId="31" priority="9">
      <formula>$D$16=FALSE</formula>
    </cfRule>
    <cfRule type="expression" dxfId="30" priority="26">
      <formula>$D$16=TRUE</formula>
    </cfRule>
  </conditionalFormatting>
  <conditionalFormatting sqref="C17">
    <cfRule type="expression" dxfId="29" priority="8">
      <formula>$D$17=FALSE</formula>
    </cfRule>
    <cfRule type="expression" dxfId="28" priority="25">
      <formula>$D$17=TRUE</formula>
    </cfRule>
  </conditionalFormatting>
  <conditionalFormatting sqref="C18">
    <cfRule type="expression" dxfId="27" priority="7">
      <formula>$D$18=FALSE</formula>
    </cfRule>
    <cfRule type="expression" dxfId="26" priority="24">
      <formula>$D$18=TRUE</formula>
    </cfRule>
  </conditionalFormatting>
  <conditionalFormatting sqref="C19">
    <cfRule type="expression" dxfId="25" priority="6">
      <formula>$D$19=FALSE</formula>
    </cfRule>
    <cfRule type="expression" dxfId="24" priority="23">
      <formula>$D$19=TRUE</formula>
    </cfRule>
  </conditionalFormatting>
  <conditionalFormatting sqref="C20">
    <cfRule type="expression" dxfId="23" priority="5">
      <formula>$D$20=FALSE</formula>
    </cfRule>
    <cfRule type="expression" dxfId="22" priority="22">
      <formula>$D$20=TRUE</formula>
    </cfRule>
  </conditionalFormatting>
  <conditionalFormatting sqref="C21">
    <cfRule type="expression" dxfId="21" priority="4">
      <formula>$D$21=FALSE</formula>
    </cfRule>
    <cfRule type="expression" dxfId="20" priority="21">
      <formula>$D$21=TRUE</formula>
    </cfRule>
  </conditionalFormatting>
  <conditionalFormatting sqref="C22">
    <cfRule type="expression" dxfId="19" priority="3">
      <formula>$D$22=FALSE</formula>
    </cfRule>
    <cfRule type="expression" dxfId="18" priority="20">
      <formula>$D$22=TRUE</formula>
    </cfRule>
  </conditionalFormatting>
  <conditionalFormatting sqref="C23">
    <cfRule type="expression" dxfId="17" priority="2">
      <formula>$D$23=FALSE</formula>
    </cfRule>
    <cfRule type="expression" dxfId="16" priority="19">
      <formula>$D$23=TRUE</formula>
    </cfRule>
  </conditionalFormatting>
  <conditionalFormatting sqref="C24">
    <cfRule type="expression" dxfId="15" priority="1">
      <formula>$D$24=FALSE</formula>
    </cfRule>
    <cfRule type="expression" dxfId="14" priority="18">
      <formula>$D$24=TRUE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Check Box 1">
              <controlPr defaultSize="0" autoFill="0" autoLine="0" autoPict="0">
                <anchor moveWithCells="1">
                  <from>
                    <xdr:col>3</xdr:col>
                    <xdr:colOff>215900</xdr:colOff>
                    <xdr:row>7</xdr:row>
                    <xdr:rowOff>0</xdr:rowOff>
                  </from>
                  <to>
                    <xdr:col>3</xdr:col>
                    <xdr:colOff>609600</xdr:colOff>
                    <xdr:row>8</xdr:row>
                    <xdr:rowOff>0</xdr:rowOff>
                  </to>
                </anchor>
              </controlPr>
            </control>
          </mc:Choice>
        </mc:AlternateContent>
        <mc:AlternateContent xmlns:mc="http://schemas.openxmlformats.org/markup-compatibility/2006">
          <mc:Choice Requires="x14">
            <control shapeId="6146" r:id="rId4" name="Check Box 2">
              <controlPr defaultSize="0" autoFill="0" autoLine="0" autoPict="0">
                <anchor moveWithCells="1">
                  <from>
                    <xdr:col>3</xdr:col>
                    <xdr:colOff>215900</xdr:colOff>
                    <xdr:row>7</xdr:row>
                    <xdr:rowOff>292100</xdr:rowOff>
                  </from>
                  <to>
                    <xdr:col>3</xdr:col>
                    <xdr:colOff>609600</xdr:colOff>
                    <xdr:row>8</xdr:row>
                    <xdr:rowOff>254000</xdr:rowOff>
                  </to>
                </anchor>
              </controlPr>
            </control>
          </mc:Choice>
        </mc:AlternateContent>
        <mc:AlternateContent xmlns:mc="http://schemas.openxmlformats.org/markup-compatibility/2006">
          <mc:Choice Requires="x14">
            <control shapeId="6147" r:id="rId5" name="Check Box 3">
              <controlPr defaultSize="0" autoFill="0" autoLine="0" autoPict="0">
                <anchor moveWithCells="1">
                  <from>
                    <xdr:col>3</xdr:col>
                    <xdr:colOff>215900</xdr:colOff>
                    <xdr:row>8</xdr:row>
                    <xdr:rowOff>292100</xdr:rowOff>
                  </from>
                  <to>
                    <xdr:col>3</xdr:col>
                    <xdr:colOff>609600</xdr:colOff>
                    <xdr:row>9</xdr:row>
                    <xdr:rowOff>254000</xdr:rowOff>
                  </to>
                </anchor>
              </controlPr>
            </control>
          </mc:Choice>
        </mc:AlternateContent>
        <mc:AlternateContent xmlns:mc="http://schemas.openxmlformats.org/markup-compatibility/2006">
          <mc:Choice Requires="x14">
            <control shapeId="6148" r:id="rId6" name="Check Box 4">
              <controlPr defaultSize="0" autoFill="0" autoLine="0" autoPict="0">
                <anchor moveWithCells="1">
                  <from>
                    <xdr:col>3</xdr:col>
                    <xdr:colOff>215900</xdr:colOff>
                    <xdr:row>9</xdr:row>
                    <xdr:rowOff>292100</xdr:rowOff>
                  </from>
                  <to>
                    <xdr:col>3</xdr:col>
                    <xdr:colOff>609600</xdr:colOff>
                    <xdr:row>10</xdr:row>
                    <xdr:rowOff>254000</xdr:rowOff>
                  </to>
                </anchor>
              </controlPr>
            </control>
          </mc:Choice>
        </mc:AlternateContent>
        <mc:AlternateContent xmlns:mc="http://schemas.openxmlformats.org/markup-compatibility/2006">
          <mc:Choice Requires="x14">
            <control shapeId="6149" r:id="rId7" name="Check Box 5">
              <controlPr defaultSize="0" autoFill="0" autoLine="0" autoPict="0">
                <anchor moveWithCells="1">
                  <from>
                    <xdr:col>3</xdr:col>
                    <xdr:colOff>215900</xdr:colOff>
                    <xdr:row>9</xdr:row>
                    <xdr:rowOff>292100</xdr:rowOff>
                  </from>
                  <to>
                    <xdr:col>3</xdr:col>
                    <xdr:colOff>609600</xdr:colOff>
                    <xdr:row>10</xdr:row>
                    <xdr:rowOff>254000</xdr:rowOff>
                  </to>
                </anchor>
              </controlPr>
            </control>
          </mc:Choice>
        </mc:AlternateContent>
        <mc:AlternateContent xmlns:mc="http://schemas.openxmlformats.org/markup-compatibility/2006">
          <mc:Choice Requires="x14">
            <control shapeId="6150" r:id="rId8" name="Check Box 6">
              <controlPr defaultSize="0" autoFill="0" autoLine="0" autoPict="0">
                <anchor moveWithCells="1">
                  <from>
                    <xdr:col>3</xdr:col>
                    <xdr:colOff>215900</xdr:colOff>
                    <xdr:row>10</xdr:row>
                    <xdr:rowOff>292100</xdr:rowOff>
                  </from>
                  <to>
                    <xdr:col>3</xdr:col>
                    <xdr:colOff>609600</xdr:colOff>
                    <xdr:row>11</xdr:row>
                    <xdr:rowOff>254000</xdr:rowOff>
                  </to>
                </anchor>
              </controlPr>
            </control>
          </mc:Choice>
        </mc:AlternateContent>
        <mc:AlternateContent xmlns:mc="http://schemas.openxmlformats.org/markup-compatibility/2006">
          <mc:Choice Requires="x14">
            <control shapeId="6151" r:id="rId9" name="Check Box 7">
              <controlPr defaultSize="0" autoFill="0" autoLine="0" autoPict="0">
                <anchor moveWithCells="1">
                  <from>
                    <xdr:col>3</xdr:col>
                    <xdr:colOff>215900</xdr:colOff>
                    <xdr:row>10</xdr:row>
                    <xdr:rowOff>292100</xdr:rowOff>
                  </from>
                  <to>
                    <xdr:col>3</xdr:col>
                    <xdr:colOff>609600</xdr:colOff>
                    <xdr:row>11</xdr:row>
                    <xdr:rowOff>254000</xdr:rowOff>
                  </to>
                </anchor>
              </controlPr>
            </control>
          </mc:Choice>
        </mc:AlternateContent>
        <mc:AlternateContent xmlns:mc="http://schemas.openxmlformats.org/markup-compatibility/2006">
          <mc:Choice Requires="x14">
            <control shapeId="6152" r:id="rId10" name="Check Box 8">
              <controlPr defaultSize="0" autoFill="0" autoLine="0" autoPict="0">
                <anchor moveWithCells="1">
                  <from>
                    <xdr:col>3</xdr:col>
                    <xdr:colOff>215900</xdr:colOff>
                    <xdr:row>11</xdr:row>
                    <xdr:rowOff>292100</xdr:rowOff>
                  </from>
                  <to>
                    <xdr:col>3</xdr:col>
                    <xdr:colOff>609600</xdr:colOff>
                    <xdr:row>12</xdr:row>
                    <xdr:rowOff>254000</xdr:rowOff>
                  </to>
                </anchor>
              </controlPr>
            </control>
          </mc:Choice>
        </mc:AlternateContent>
        <mc:AlternateContent xmlns:mc="http://schemas.openxmlformats.org/markup-compatibility/2006">
          <mc:Choice Requires="x14">
            <control shapeId="6153" r:id="rId11" name="Check Box 9">
              <controlPr defaultSize="0" autoFill="0" autoLine="0" autoPict="0">
                <anchor moveWithCells="1">
                  <from>
                    <xdr:col>3</xdr:col>
                    <xdr:colOff>215900</xdr:colOff>
                    <xdr:row>11</xdr:row>
                    <xdr:rowOff>292100</xdr:rowOff>
                  </from>
                  <to>
                    <xdr:col>3</xdr:col>
                    <xdr:colOff>609600</xdr:colOff>
                    <xdr:row>12</xdr:row>
                    <xdr:rowOff>254000</xdr:rowOff>
                  </to>
                </anchor>
              </controlPr>
            </control>
          </mc:Choice>
        </mc:AlternateContent>
        <mc:AlternateContent xmlns:mc="http://schemas.openxmlformats.org/markup-compatibility/2006">
          <mc:Choice Requires="x14">
            <control shapeId="6154" r:id="rId12" name="Check Box 10">
              <controlPr defaultSize="0" autoFill="0" autoLine="0" autoPict="0">
                <anchor moveWithCells="1">
                  <from>
                    <xdr:col>3</xdr:col>
                    <xdr:colOff>215900</xdr:colOff>
                    <xdr:row>12</xdr:row>
                    <xdr:rowOff>292100</xdr:rowOff>
                  </from>
                  <to>
                    <xdr:col>3</xdr:col>
                    <xdr:colOff>609600</xdr:colOff>
                    <xdr:row>13</xdr:row>
                    <xdr:rowOff>254000</xdr:rowOff>
                  </to>
                </anchor>
              </controlPr>
            </control>
          </mc:Choice>
        </mc:AlternateContent>
        <mc:AlternateContent xmlns:mc="http://schemas.openxmlformats.org/markup-compatibility/2006">
          <mc:Choice Requires="x14">
            <control shapeId="6155" r:id="rId13" name="Check Box 11">
              <controlPr defaultSize="0" autoFill="0" autoLine="0" autoPict="0">
                <anchor moveWithCells="1">
                  <from>
                    <xdr:col>3</xdr:col>
                    <xdr:colOff>215900</xdr:colOff>
                    <xdr:row>12</xdr:row>
                    <xdr:rowOff>292100</xdr:rowOff>
                  </from>
                  <to>
                    <xdr:col>3</xdr:col>
                    <xdr:colOff>609600</xdr:colOff>
                    <xdr:row>13</xdr:row>
                    <xdr:rowOff>254000</xdr:rowOff>
                  </to>
                </anchor>
              </controlPr>
            </control>
          </mc:Choice>
        </mc:AlternateContent>
        <mc:AlternateContent xmlns:mc="http://schemas.openxmlformats.org/markup-compatibility/2006">
          <mc:Choice Requires="x14">
            <control shapeId="6156" r:id="rId14" name="Check Box 12">
              <controlPr defaultSize="0" autoFill="0" autoLine="0" autoPict="0">
                <anchor moveWithCells="1">
                  <from>
                    <xdr:col>3</xdr:col>
                    <xdr:colOff>215900</xdr:colOff>
                    <xdr:row>13</xdr:row>
                    <xdr:rowOff>292100</xdr:rowOff>
                  </from>
                  <to>
                    <xdr:col>3</xdr:col>
                    <xdr:colOff>609600</xdr:colOff>
                    <xdr:row>14</xdr:row>
                    <xdr:rowOff>254000</xdr:rowOff>
                  </to>
                </anchor>
              </controlPr>
            </control>
          </mc:Choice>
        </mc:AlternateContent>
        <mc:AlternateContent xmlns:mc="http://schemas.openxmlformats.org/markup-compatibility/2006">
          <mc:Choice Requires="x14">
            <control shapeId="6157" r:id="rId15" name="Check Box 13">
              <controlPr defaultSize="0" autoFill="0" autoLine="0" autoPict="0">
                <anchor moveWithCells="1">
                  <from>
                    <xdr:col>3</xdr:col>
                    <xdr:colOff>215900</xdr:colOff>
                    <xdr:row>13</xdr:row>
                    <xdr:rowOff>292100</xdr:rowOff>
                  </from>
                  <to>
                    <xdr:col>3</xdr:col>
                    <xdr:colOff>609600</xdr:colOff>
                    <xdr:row>14</xdr:row>
                    <xdr:rowOff>254000</xdr:rowOff>
                  </to>
                </anchor>
              </controlPr>
            </control>
          </mc:Choice>
        </mc:AlternateContent>
        <mc:AlternateContent xmlns:mc="http://schemas.openxmlformats.org/markup-compatibility/2006">
          <mc:Choice Requires="x14">
            <control shapeId="6158" r:id="rId16" name="Check Box 14">
              <controlPr defaultSize="0" autoFill="0" autoLine="0" autoPict="0">
                <anchor moveWithCells="1">
                  <from>
                    <xdr:col>3</xdr:col>
                    <xdr:colOff>215900</xdr:colOff>
                    <xdr:row>14</xdr:row>
                    <xdr:rowOff>292100</xdr:rowOff>
                  </from>
                  <to>
                    <xdr:col>3</xdr:col>
                    <xdr:colOff>609600</xdr:colOff>
                    <xdr:row>15</xdr:row>
                    <xdr:rowOff>254000</xdr:rowOff>
                  </to>
                </anchor>
              </controlPr>
            </control>
          </mc:Choice>
        </mc:AlternateContent>
        <mc:AlternateContent xmlns:mc="http://schemas.openxmlformats.org/markup-compatibility/2006">
          <mc:Choice Requires="x14">
            <control shapeId="6159" r:id="rId17" name="Check Box 15">
              <controlPr defaultSize="0" autoFill="0" autoLine="0" autoPict="0">
                <anchor moveWithCells="1">
                  <from>
                    <xdr:col>3</xdr:col>
                    <xdr:colOff>215900</xdr:colOff>
                    <xdr:row>14</xdr:row>
                    <xdr:rowOff>292100</xdr:rowOff>
                  </from>
                  <to>
                    <xdr:col>3</xdr:col>
                    <xdr:colOff>609600</xdr:colOff>
                    <xdr:row>15</xdr:row>
                    <xdr:rowOff>254000</xdr:rowOff>
                  </to>
                </anchor>
              </controlPr>
            </control>
          </mc:Choice>
        </mc:AlternateContent>
        <mc:AlternateContent xmlns:mc="http://schemas.openxmlformats.org/markup-compatibility/2006">
          <mc:Choice Requires="x14">
            <control shapeId="6160" r:id="rId18" name="Check Box 16">
              <controlPr defaultSize="0" autoFill="0" autoLine="0" autoPict="0">
                <anchor moveWithCells="1">
                  <from>
                    <xdr:col>3</xdr:col>
                    <xdr:colOff>215900</xdr:colOff>
                    <xdr:row>15</xdr:row>
                    <xdr:rowOff>292100</xdr:rowOff>
                  </from>
                  <to>
                    <xdr:col>3</xdr:col>
                    <xdr:colOff>609600</xdr:colOff>
                    <xdr:row>16</xdr:row>
                    <xdr:rowOff>254000</xdr:rowOff>
                  </to>
                </anchor>
              </controlPr>
            </control>
          </mc:Choice>
        </mc:AlternateContent>
        <mc:AlternateContent xmlns:mc="http://schemas.openxmlformats.org/markup-compatibility/2006">
          <mc:Choice Requires="x14">
            <control shapeId="6161" r:id="rId19" name="Check Box 17">
              <controlPr defaultSize="0" autoFill="0" autoLine="0" autoPict="0">
                <anchor moveWithCells="1">
                  <from>
                    <xdr:col>3</xdr:col>
                    <xdr:colOff>215900</xdr:colOff>
                    <xdr:row>15</xdr:row>
                    <xdr:rowOff>292100</xdr:rowOff>
                  </from>
                  <to>
                    <xdr:col>3</xdr:col>
                    <xdr:colOff>609600</xdr:colOff>
                    <xdr:row>16</xdr:row>
                    <xdr:rowOff>254000</xdr:rowOff>
                  </to>
                </anchor>
              </controlPr>
            </control>
          </mc:Choice>
        </mc:AlternateContent>
        <mc:AlternateContent xmlns:mc="http://schemas.openxmlformats.org/markup-compatibility/2006">
          <mc:Choice Requires="x14">
            <control shapeId="6162" r:id="rId20" name="Check Box 18">
              <controlPr defaultSize="0" autoFill="0" autoLine="0" autoPict="0">
                <anchor moveWithCells="1">
                  <from>
                    <xdr:col>3</xdr:col>
                    <xdr:colOff>215900</xdr:colOff>
                    <xdr:row>16</xdr:row>
                    <xdr:rowOff>292100</xdr:rowOff>
                  </from>
                  <to>
                    <xdr:col>3</xdr:col>
                    <xdr:colOff>609600</xdr:colOff>
                    <xdr:row>17</xdr:row>
                    <xdr:rowOff>254000</xdr:rowOff>
                  </to>
                </anchor>
              </controlPr>
            </control>
          </mc:Choice>
        </mc:AlternateContent>
        <mc:AlternateContent xmlns:mc="http://schemas.openxmlformats.org/markup-compatibility/2006">
          <mc:Choice Requires="x14">
            <control shapeId="6163" r:id="rId21" name="Check Box 19">
              <controlPr defaultSize="0" autoFill="0" autoLine="0" autoPict="0">
                <anchor moveWithCells="1">
                  <from>
                    <xdr:col>3</xdr:col>
                    <xdr:colOff>215900</xdr:colOff>
                    <xdr:row>16</xdr:row>
                    <xdr:rowOff>292100</xdr:rowOff>
                  </from>
                  <to>
                    <xdr:col>3</xdr:col>
                    <xdr:colOff>609600</xdr:colOff>
                    <xdr:row>17</xdr:row>
                    <xdr:rowOff>254000</xdr:rowOff>
                  </to>
                </anchor>
              </controlPr>
            </control>
          </mc:Choice>
        </mc:AlternateContent>
        <mc:AlternateContent xmlns:mc="http://schemas.openxmlformats.org/markup-compatibility/2006">
          <mc:Choice Requires="x14">
            <control shapeId="6164" r:id="rId22" name="Check Box 20">
              <controlPr defaultSize="0" autoFill="0" autoLine="0" autoPict="0">
                <anchor moveWithCells="1">
                  <from>
                    <xdr:col>3</xdr:col>
                    <xdr:colOff>215900</xdr:colOff>
                    <xdr:row>17</xdr:row>
                    <xdr:rowOff>292100</xdr:rowOff>
                  </from>
                  <to>
                    <xdr:col>3</xdr:col>
                    <xdr:colOff>609600</xdr:colOff>
                    <xdr:row>18</xdr:row>
                    <xdr:rowOff>254000</xdr:rowOff>
                  </to>
                </anchor>
              </controlPr>
            </control>
          </mc:Choice>
        </mc:AlternateContent>
        <mc:AlternateContent xmlns:mc="http://schemas.openxmlformats.org/markup-compatibility/2006">
          <mc:Choice Requires="x14">
            <control shapeId="6165" r:id="rId23" name="Check Box 21">
              <controlPr defaultSize="0" autoFill="0" autoLine="0" autoPict="0">
                <anchor moveWithCells="1">
                  <from>
                    <xdr:col>3</xdr:col>
                    <xdr:colOff>215900</xdr:colOff>
                    <xdr:row>17</xdr:row>
                    <xdr:rowOff>292100</xdr:rowOff>
                  </from>
                  <to>
                    <xdr:col>3</xdr:col>
                    <xdr:colOff>609600</xdr:colOff>
                    <xdr:row>18</xdr:row>
                    <xdr:rowOff>254000</xdr:rowOff>
                  </to>
                </anchor>
              </controlPr>
            </control>
          </mc:Choice>
        </mc:AlternateContent>
        <mc:AlternateContent xmlns:mc="http://schemas.openxmlformats.org/markup-compatibility/2006">
          <mc:Choice Requires="x14">
            <control shapeId="6166" r:id="rId24" name="Check Box 22">
              <controlPr defaultSize="0" autoFill="0" autoLine="0" autoPict="0">
                <anchor moveWithCells="1">
                  <from>
                    <xdr:col>3</xdr:col>
                    <xdr:colOff>215900</xdr:colOff>
                    <xdr:row>18</xdr:row>
                    <xdr:rowOff>292100</xdr:rowOff>
                  </from>
                  <to>
                    <xdr:col>3</xdr:col>
                    <xdr:colOff>609600</xdr:colOff>
                    <xdr:row>19</xdr:row>
                    <xdr:rowOff>254000</xdr:rowOff>
                  </to>
                </anchor>
              </controlPr>
            </control>
          </mc:Choice>
        </mc:AlternateContent>
        <mc:AlternateContent xmlns:mc="http://schemas.openxmlformats.org/markup-compatibility/2006">
          <mc:Choice Requires="x14">
            <control shapeId="6167" r:id="rId25" name="Check Box 23">
              <controlPr defaultSize="0" autoFill="0" autoLine="0" autoPict="0">
                <anchor moveWithCells="1">
                  <from>
                    <xdr:col>3</xdr:col>
                    <xdr:colOff>215900</xdr:colOff>
                    <xdr:row>18</xdr:row>
                    <xdr:rowOff>292100</xdr:rowOff>
                  </from>
                  <to>
                    <xdr:col>3</xdr:col>
                    <xdr:colOff>609600</xdr:colOff>
                    <xdr:row>19</xdr:row>
                    <xdr:rowOff>254000</xdr:rowOff>
                  </to>
                </anchor>
              </controlPr>
            </control>
          </mc:Choice>
        </mc:AlternateContent>
        <mc:AlternateContent xmlns:mc="http://schemas.openxmlformats.org/markup-compatibility/2006">
          <mc:Choice Requires="x14">
            <control shapeId="6168" r:id="rId26" name="Check Box 24">
              <controlPr defaultSize="0" autoFill="0" autoLine="0" autoPict="0">
                <anchor moveWithCells="1">
                  <from>
                    <xdr:col>3</xdr:col>
                    <xdr:colOff>215900</xdr:colOff>
                    <xdr:row>19</xdr:row>
                    <xdr:rowOff>292100</xdr:rowOff>
                  </from>
                  <to>
                    <xdr:col>3</xdr:col>
                    <xdr:colOff>609600</xdr:colOff>
                    <xdr:row>20</xdr:row>
                    <xdr:rowOff>254000</xdr:rowOff>
                  </to>
                </anchor>
              </controlPr>
            </control>
          </mc:Choice>
        </mc:AlternateContent>
        <mc:AlternateContent xmlns:mc="http://schemas.openxmlformats.org/markup-compatibility/2006">
          <mc:Choice Requires="x14">
            <control shapeId="6169" r:id="rId27" name="Check Box 25">
              <controlPr defaultSize="0" autoFill="0" autoLine="0" autoPict="0">
                <anchor moveWithCells="1">
                  <from>
                    <xdr:col>3</xdr:col>
                    <xdr:colOff>215900</xdr:colOff>
                    <xdr:row>19</xdr:row>
                    <xdr:rowOff>292100</xdr:rowOff>
                  </from>
                  <to>
                    <xdr:col>3</xdr:col>
                    <xdr:colOff>609600</xdr:colOff>
                    <xdr:row>20</xdr:row>
                    <xdr:rowOff>254000</xdr:rowOff>
                  </to>
                </anchor>
              </controlPr>
            </control>
          </mc:Choice>
        </mc:AlternateContent>
        <mc:AlternateContent xmlns:mc="http://schemas.openxmlformats.org/markup-compatibility/2006">
          <mc:Choice Requires="x14">
            <control shapeId="6170" r:id="rId28" name="Check Box 26">
              <controlPr defaultSize="0" autoFill="0" autoLine="0" autoPict="0">
                <anchor moveWithCells="1">
                  <from>
                    <xdr:col>3</xdr:col>
                    <xdr:colOff>215900</xdr:colOff>
                    <xdr:row>20</xdr:row>
                    <xdr:rowOff>292100</xdr:rowOff>
                  </from>
                  <to>
                    <xdr:col>3</xdr:col>
                    <xdr:colOff>609600</xdr:colOff>
                    <xdr:row>21</xdr:row>
                    <xdr:rowOff>254000</xdr:rowOff>
                  </to>
                </anchor>
              </controlPr>
            </control>
          </mc:Choice>
        </mc:AlternateContent>
        <mc:AlternateContent xmlns:mc="http://schemas.openxmlformats.org/markup-compatibility/2006">
          <mc:Choice Requires="x14">
            <control shapeId="6171" r:id="rId29" name="Check Box 27">
              <controlPr defaultSize="0" autoFill="0" autoLine="0" autoPict="0">
                <anchor moveWithCells="1">
                  <from>
                    <xdr:col>3</xdr:col>
                    <xdr:colOff>215900</xdr:colOff>
                    <xdr:row>20</xdr:row>
                    <xdr:rowOff>292100</xdr:rowOff>
                  </from>
                  <to>
                    <xdr:col>3</xdr:col>
                    <xdr:colOff>609600</xdr:colOff>
                    <xdr:row>21</xdr:row>
                    <xdr:rowOff>254000</xdr:rowOff>
                  </to>
                </anchor>
              </controlPr>
            </control>
          </mc:Choice>
        </mc:AlternateContent>
        <mc:AlternateContent xmlns:mc="http://schemas.openxmlformats.org/markup-compatibility/2006">
          <mc:Choice Requires="x14">
            <control shapeId="6172" r:id="rId30" name="Check Box 28">
              <controlPr defaultSize="0" autoFill="0" autoLine="0" autoPict="0">
                <anchor moveWithCells="1">
                  <from>
                    <xdr:col>3</xdr:col>
                    <xdr:colOff>215900</xdr:colOff>
                    <xdr:row>21</xdr:row>
                    <xdr:rowOff>292100</xdr:rowOff>
                  </from>
                  <to>
                    <xdr:col>3</xdr:col>
                    <xdr:colOff>609600</xdr:colOff>
                    <xdr:row>22</xdr:row>
                    <xdr:rowOff>254000</xdr:rowOff>
                  </to>
                </anchor>
              </controlPr>
            </control>
          </mc:Choice>
        </mc:AlternateContent>
        <mc:AlternateContent xmlns:mc="http://schemas.openxmlformats.org/markup-compatibility/2006">
          <mc:Choice Requires="x14">
            <control shapeId="6173" r:id="rId31" name="Check Box 29">
              <controlPr defaultSize="0" autoFill="0" autoLine="0" autoPict="0">
                <anchor moveWithCells="1">
                  <from>
                    <xdr:col>3</xdr:col>
                    <xdr:colOff>215900</xdr:colOff>
                    <xdr:row>21</xdr:row>
                    <xdr:rowOff>292100</xdr:rowOff>
                  </from>
                  <to>
                    <xdr:col>3</xdr:col>
                    <xdr:colOff>609600</xdr:colOff>
                    <xdr:row>22</xdr:row>
                    <xdr:rowOff>254000</xdr:rowOff>
                  </to>
                </anchor>
              </controlPr>
            </control>
          </mc:Choice>
        </mc:AlternateContent>
        <mc:AlternateContent xmlns:mc="http://schemas.openxmlformats.org/markup-compatibility/2006">
          <mc:Choice Requires="x14">
            <control shapeId="6174" r:id="rId32" name="Check Box 30">
              <controlPr defaultSize="0" autoFill="0" autoLine="0" autoPict="0">
                <anchor moveWithCells="1">
                  <from>
                    <xdr:col>3</xdr:col>
                    <xdr:colOff>215900</xdr:colOff>
                    <xdr:row>22</xdr:row>
                    <xdr:rowOff>292100</xdr:rowOff>
                  </from>
                  <to>
                    <xdr:col>3</xdr:col>
                    <xdr:colOff>609600</xdr:colOff>
                    <xdr:row>23</xdr:row>
                    <xdr:rowOff>254000</xdr:rowOff>
                  </to>
                </anchor>
              </controlPr>
            </control>
          </mc:Choice>
        </mc:AlternateContent>
        <mc:AlternateContent xmlns:mc="http://schemas.openxmlformats.org/markup-compatibility/2006">
          <mc:Choice Requires="x14">
            <control shapeId="6175" r:id="rId33" name="Check Box 31">
              <controlPr defaultSize="0" autoFill="0" autoLine="0" autoPict="0">
                <anchor moveWithCells="1">
                  <from>
                    <xdr:col>3</xdr:col>
                    <xdr:colOff>215900</xdr:colOff>
                    <xdr:row>22</xdr:row>
                    <xdr:rowOff>292100</xdr:rowOff>
                  </from>
                  <to>
                    <xdr:col>3</xdr:col>
                    <xdr:colOff>609600</xdr:colOff>
                    <xdr:row>23</xdr:row>
                    <xdr:rowOff>254000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A9E33-E6A5-4436-8E49-943F4367545C}">
  <sheetPr codeName="Sheet10"/>
  <dimension ref="A1:AQ183"/>
  <sheetViews>
    <sheetView showGridLines="0" zoomScale="70" zoomScaleNormal="70" workbookViewId="0">
      <selection sqref="A1:Q1"/>
    </sheetView>
  </sheetViews>
  <sheetFormatPr baseColWidth="10" defaultColWidth="8.83203125" defaultRowHeight="15" x14ac:dyDescent="0.2"/>
  <cols>
    <col min="1" max="5" width="10.83203125" customWidth="1"/>
    <col min="6" max="6" width="14" bestFit="1" customWidth="1"/>
    <col min="7" max="12" width="10.83203125" customWidth="1"/>
    <col min="13" max="13" width="14" bestFit="1" customWidth="1"/>
    <col min="14" max="19" width="10.83203125" customWidth="1"/>
    <col min="20" max="20" width="14" bestFit="1" customWidth="1"/>
    <col min="21" max="26" width="10.83203125" customWidth="1"/>
    <col min="31" max="31" width="70.33203125" customWidth="1"/>
    <col min="33" max="33" width="17.33203125" bestFit="1" customWidth="1"/>
    <col min="34" max="34" width="26.33203125" bestFit="1" customWidth="1"/>
    <col min="35" max="35" width="15.1640625" customWidth="1"/>
    <col min="36" max="36" width="17.33203125" bestFit="1" customWidth="1"/>
    <col min="37" max="37" width="28.83203125" bestFit="1" customWidth="1"/>
    <col min="38" max="38" width="15.1640625" customWidth="1"/>
    <col min="39" max="39" width="17.33203125" bestFit="1" customWidth="1"/>
    <col min="40" max="40" width="38" bestFit="1" customWidth="1"/>
    <col min="41" max="41" width="9" customWidth="1"/>
    <col min="42" max="42" width="17.6640625" customWidth="1"/>
    <col min="43" max="43" width="16" customWidth="1"/>
    <col min="44" max="45" width="8.83203125" customWidth="1"/>
  </cols>
  <sheetData>
    <row r="1" spans="1:43" ht="12" customHeight="1" thickBot="1" x14ac:dyDescent="0.25">
      <c r="A1" s="180"/>
      <c r="B1" s="180"/>
      <c r="C1" s="180"/>
      <c r="D1" s="180"/>
      <c r="E1" s="180"/>
      <c r="F1" s="180"/>
      <c r="G1" s="180"/>
      <c r="H1" s="180"/>
      <c r="I1" s="180"/>
      <c r="J1" s="180"/>
      <c r="K1" s="180"/>
      <c r="L1" s="180"/>
      <c r="M1" s="180"/>
      <c r="N1" s="180"/>
      <c r="O1" s="180"/>
      <c r="P1" s="180"/>
      <c r="Q1" s="180"/>
      <c r="R1" s="8"/>
      <c r="S1" s="8"/>
      <c r="T1" s="8"/>
      <c r="U1" s="8"/>
      <c r="V1" s="8"/>
      <c r="W1" s="8"/>
      <c r="X1" s="8"/>
      <c r="Y1" s="8"/>
      <c r="Z1" s="8"/>
      <c r="AA1" s="8"/>
      <c r="AB1" s="8"/>
      <c r="AC1" s="8"/>
      <c r="AD1" s="8"/>
      <c r="AE1" s="8"/>
      <c r="AF1" s="8"/>
    </row>
    <row r="2" spans="1:43" ht="15" customHeight="1" x14ac:dyDescent="0.2">
      <c r="A2" s="184" t="s">
        <v>332</v>
      </c>
      <c r="B2" s="184"/>
      <c r="C2" s="184"/>
      <c r="D2" s="184"/>
      <c r="E2" s="184"/>
      <c r="F2" s="184"/>
      <c r="G2" s="184"/>
      <c r="H2" s="184"/>
      <c r="I2" s="184"/>
      <c r="J2" s="184"/>
      <c r="K2" s="184"/>
      <c r="L2" s="184"/>
      <c r="M2" s="184"/>
      <c r="N2" s="184"/>
      <c r="O2" s="184"/>
      <c r="P2" s="184"/>
      <c r="Q2" s="184"/>
      <c r="R2" s="184"/>
      <c r="S2" s="184"/>
      <c r="T2" s="184"/>
      <c r="U2" s="184"/>
      <c r="V2" s="184"/>
      <c r="W2" s="184"/>
      <c r="X2" s="184"/>
      <c r="Y2" s="184"/>
      <c r="Z2" s="184"/>
      <c r="AA2" s="8"/>
      <c r="AB2" s="8"/>
      <c r="AC2" s="8"/>
      <c r="AD2" s="8"/>
      <c r="AE2" s="8"/>
      <c r="AF2" s="8"/>
      <c r="AG2" s="103" t="s">
        <v>299</v>
      </c>
      <c r="AH2" s="104" t="s">
        <v>300</v>
      </c>
      <c r="AI2" s="105" t="s">
        <v>301</v>
      </c>
    </row>
    <row r="3" spans="1:43" ht="16" customHeight="1" thickBot="1" x14ac:dyDescent="0.25">
      <c r="A3" s="184"/>
      <c r="B3" s="184"/>
      <c r="C3" s="184"/>
      <c r="D3" s="184"/>
      <c r="E3" s="184"/>
      <c r="F3" s="184"/>
      <c r="G3" s="184"/>
      <c r="H3" s="184"/>
      <c r="I3" s="184"/>
      <c r="J3" s="184"/>
      <c r="K3" s="184"/>
      <c r="L3" s="184"/>
      <c r="M3" s="184"/>
      <c r="N3" s="184"/>
      <c r="O3" s="184"/>
      <c r="P3" s="184"/>
      <c r="Q3" s="184"/>
      <c r="R3" s="184"/>
      <c r="S3" s="184"/>
      <c r="T3" s="184"/>
      <c r="U3" s="184"/>
      <c r="V3" s="184"/>
      <c r="W3" s="184"/>
      <c r="X3" s="184"/>
      <c r="Y3" s="184"/>
      <c r="Z3" s="184"/>
      <c r="AA3" s="8"/>
      <c r="AB3" s="8"/>
      <c r="AC3" s="8"/>
      <c r="AD3" s="8"/>
      <c r="AE3" s="8"/>
      <c r="AF3" s="8"/>
      <c r="AG3" s="106" t="str">
        <f ca="1">TEXT(TODAY(), "mmm")</f>
        <v>Oct</v>
      </c>
      <c r="AH3" s="107">
        <f ca="1">YEAR(TODAY())</f>
        <v>2025</v>
      </c>
      <c r="AI3" s="108" t="str">
        <f ca="1">"Q"&amp;ROUNDUP(MONTH(TODAY())/3,0)</f>
        <v>Q4</v>
      </c>
    </row>
    <row r="4" spans="1:43" ht="15" customHeight="1" x14ac:dyDescent="0.2">
      <c r="A4" s="184"/>
      <c r="B4" s="184"/>
      <c r="C4" s="184"/>
      <c r="D4" s="184"/>
      <c r="E4" s="184"/>
      <c r="F4" s="184"/>
      <c r="G4" s="184"/>
      <c r="H4" s="184"/>
      <c r="I4" s="184"/>
      <c r="J4" s="184"/>
      <c r="K4" s="184"/>
      <c r="L4" s="184"/>
      <c r="M4" s="184"/>
      <c r="N4" s="184"/>
      <c r="O4" s="184"/>
      <c r="P4" s="184"/>
      <c r="Q4" s="184"/>
      <c r="R4" s="184"/>
      <c r="S4" s="184"/>
      <c r="T4" s="184"/>
      <c r="U4" s="184"/>
      <c r="V4" s="184"/>
      <c r="W4" s="184"/>
      <c r="X4" s="184"/>
      <c r="Y4" s="184"/>
      <c r="Z4" s="184"/>
      <c r="AA4" s="8"/>
      <c r="AB4" s="8"/>
      <c r="AC4" s="8"/>
      <c r="AD4" s="8"/>
      <c r="AE4" s="8"/>
      <c r="AF4" s="8"/>
    </row>
    <row r="5" spans="1:43" ht="19" customHeight="1" x14ac:dyDescent="0.2">
      <c r="A5" s="184"/>
      <c r="B5" s="184"/>
      <c r="C5" s="184"/>
      <c r="D5" s="184"/>
      <c r="E5" s="184"/>
      <c r="F5" s="184"/>
      <c r="G5" s="184"/>
      <c r="H5" s="184"/>
      <c r="I5" s="184"/>
      <c r="J5" s="184"/>
      <c r="K5" s="184"/>
      <c r="L5" s="184"/>
      <c r="M5" s="184"/>
      <c r="N5" s="184"/>
      <c r="O5" s="184"/>
      <c r="P5" s="184"/>
      <c r="Q5" s="184"/>
      <c r="R5" s="184"/>
      <c r="S5" s="184"/>
      <c r="T5" s="184"/>
      <c r="U5" s="184"/>
      <c r="V5" s="184"/>
      <c r="W5" s="184"/>
      <c r="X5" s="184"/>
      <c r="Y5" s="184"/>
      <c r="Z5" s="184"/>
      <c r="AA5" s="8"/>
      <c r="AB5" s="8"/>
      <c r="AC5" s="8"/>
      <c r="AD5" s="8"/>
      <c r="AE5" s="8"/>
      <c r="AF5" s="8"/>
    </row>
    <row r="6" spans="1:43" x14ac:dyDescent="0.2">
      <c r="A6" s="8"/>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row>
    <row r="7" spans="1:43" ht="16" thickBot="1" x14ac:dyDescent="0.25">
      <c r="A7" s="8"/>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row>
    <row r="8" spans="1:43" ht="29" x14ac:dyDescent="0.35">
      <c r="A8" s="8"/>
      <c r="B8" s="8"/>
      <c r="C8" s="181" t="s">
        <v>312</v>
      </c>
      <c r="D8" s="182"/>
      <c r="E8" s="182"/>
      <c r="F8" s="182"/>
      <c r="G8" s="182"/>
      <c r="H8" s="183"/>
      <c r="I8" s="8"/>
      <c r="J8" s="181" t="s">
        <v>311</v>
      </c>
      <c r="K8" s="182"/>
      <c r="L8" s="182"/>
      <c r="M8" s="182"/>
      <c r="N8" s="182"/>
      <c r="O8" s="183"/>
      <c r="P8" s="8"/>
      <c r="Q8" s="181" t="s">
        <v>313</v>
      </c>
      <c r="R8" s="182"/>
      <c r="S8" s="182"/>
      <c r="T8" s="182"/>
      <c r="U8" s="182"/>
      <c r="V8" s="183"/>
      <c r="W8" s="8"/>
      <c r="X8" s="8"/>
      <c r="Y8" s="8"/>
      <c r="Z8" s="8"/>
      <c r="AA8" s="8"/>
      <c r="AB8" s="8"/>
      <c r="AC8" s="8"/>
      <c r="AD8" s="8"/>
      <c r="AE8" s="8"/>
      <c r="AF8" s="8"/>
      <c r="AG8" s="103" t="s">
        <v>302</v>
      </c>
      <c r="AH8" s="104" t="s">
        <v>303</v>
      </c>
      <c r="AI8" s="104" t="s">
        <v>304</v>
      </c>
      <c r="AJ8" s="104" t="s">
        <v>305</v>
      </c>
      <c r="AK8" s="104" t="s">
        <v>306</v>
      </c>
      <c r="AL8" s="104" t="s">
        <v>307</v>
      </c>
      <c r="AM8" s="104" t="s">
        <v>308</v>
      </c>
      <c r="AN8" s="104" t="s">
        <v>309</v>
      </c>
      <c r="AO8" s="104" t="s">
        <v>310</v>
      </c>
      <c r="AP8" s="104" t="s">
        <v>325</v>
      </c>
      <c r="AQ8" s="105" t="s">
        <v>326</v>
      </c>
    </row>
    <row r="9" spans="1:43" ht="48" thickBot="1" x14ac:dyDescent="0.6">
      <c r="A9" s="8"/>
      <c r="B9" s="8"/>
      <c r="C9" s="127"/>
      <c r="D9" s="123"/>
      <c r="E9" s="179">
        <f ca="1">AI9</f>
        <v>0.51851851851851849</v>
      </c>
      <c r="F9" s="179"/>
      <c r="G9" s="123"/>
      <c r="H9" s="128"/>
      <c r="I9" s="8"/>
      <c r="J9" s="127"/>
      <c r="K9" s="123"/>
      <c r="L9" s="179">
        <f ca="1">AL9</f>
        <v>0</v>
      </c>
      <c r="M9" s="179"/>
      <c r="N9" s="123"/>
      <c r="O9" s="128"/>
      <c r="P9" s="8"/>
      <c r="Q9" s="127"/>
      <c r="R9" s="123"/>
      <c r="S9" s="179">
        <f ca="1">AO9</f>
        <v>0</v>
      </c>
      <c r="T9" s="179"/>
      <c r="U9" s="123"/>
      <c r="V9" s="128"/>
      <c r="W9" s="8"/>
      <c r="X9" s="8"/>
      <c r="Y9" s="8"/>
      <c r="Z9" s="8"/>
      <c r="AA9" s="8"/>
      <c r="AB9" s="8"/>
      <c r="AC9" s="8"/>
      <c r="AD9" s="8"/>
      <c r="AE9" s="8"/>
      <c r="AF9" s="8"/>
      <c r="AG9" s="106">
        <f ca="1">COUNTIFS(LogTable[Source],"Daily checks",LogTable[LogDate],TODAY())</f>
        <v>14</v>
      </c>
      <c r="AH9" s="107">
        <v>27</v>
      </c>
      <c r="AI9" s="109">
        <f ca="1">AG9/AH9</f>
        <v>0.51851851851851849</v>
      </c>
      <c r="AJ9" s="107">
        <f ca="1">COUNTIFS(LogTable[Source], "Weekly checks", LogTable[Year], YEAR(TODAY()), LogTable[WeekNum], WEEKNUM(TODAY(),2))</f>
        <v>0</v>
      </c>
      <c r="AK9" s="107">
        <f>23</f>
        <v>23</v>
      </c>
      <c r="AL9" s="109">
        <f ca="1">AJ9/AK9</f>
        <v>0</v>
      </c>
      <c r="AM9" s="107">
        <f ca="1">COUNTIFS(LogTable[Source], "Monthly checks", LogTable[LogMonth], TEXT(TODAY(), "mmm"), LogTable[Year], YEAR(TODAY()))</f>
        <v>0</v>
      </c>
      <c r="AN9" s="107">
        <v>11</v>
      </c>
      <c r="AO9" s="109">
        <f ca="1">AM9/AN9</f>
        <v>0</v>
      </c>
      <c r="AP9" s="37"/>
      <c r="AQ9" s="38"/>
    </row>
    <row r="10" spans="1:43" ht="24" x14ac:dyDescent="0.3">
      <c r="A10" s="8"/>
      <c r="B10" s="8"/>
      <c r="C10" s="127"/>
      <c r="D10" s="121" t="s">
        <v>330</v>
      </c>
      <c r="E10" s="122">
        <f>AH9</f>
        <v>27</v>
      </c>
      <c r="F10" s="131" t="s">
        <v>331</v>
      </c>
      <c r="G10" s="122">
        <f ca="1">AG9</f>
        <v>14</v>
      </c>
      <c r="H10" s="129"/>
      <c r="I10" s="8"/>
      <c r="J10" s="127"/>
      <c r="K10" s="121" t="s">
        <v>330</v>
      </c>
      <c r="L10" s="122">
        <f>AK9</f>
        <v>23</v>
      </c>
      <c r="M10" s="131" t="s">
        <v>331</v>
      </c>
      <c r="N10" s="122">
        <f ca="1">AJ9</f>
        <v>0</v>
      </c>
      <c r="O10" s="129"/>
      <c r="P10" s="8"/>
      <c r="Q10" s="127"/>
      <c r="R10" s="121" t="s">
        <v>330</v>
      </c>
      <c r="S10" s="122">
        <f>AN9</f>
        <v>11</v>
      </c>
      <c r="T10" s="131" t="s">
        <v>331</v>
      </c>
      <c r="U10" s="124">
        <f ca="1">AO9</f>
        <v>0</v>
      </c>
      <c r="V10" s="129"/>
      <c r="W10" s="8"/>
      <c r="X10" s="8"/>
      <c r="Y10" s="8"/>
      <c r="Z10" s="8"/>
      <c r="AA10" s="8"/>
      <c r="AB10" s="8"/>
      <c r="AC10" s="8"/>
      <c r="AD10" s="8"/>
      <c r="AE10" s="8"/>
      <c r="AF10" s="8"/>
      <c r="AG10" s="1"/>
      <c r="AH10" s="1"/>
      <c r="AI10" s="120"/>
      <c r="AJ10" s="1"/>
      <c r="AK10" s="1"/>
      <c r="AL10" s="120"/>
      <c r="AM10" s="1"/>
      <c r="AN10" s="1"/>
      <c r="AO10" s="120"/>
    </row>
    <row r="11" spans="1:43" ht="25" thickBot="1" x14ac:dyDescent="0.35">
      <c r="A11" s="8"/>
      <c r="B11" s="8"/>
      <c r="C11" s="176" t="str">
        <f ca="1">TEXT(TODAY(), "dd mmm yyyy")</f>
        <v>04 Oct 2025</v>
      </c>
      <c r="D11" s="177"/>
      <c r="E11" s="177"/>
      <c r="F11" s="177"/>
      <c r="G11" s="177"/>
      <c r="H11" s="178"/>
      <c r="I11" s="8"/>
      <c r="J11" s="176" t="str">
        <f ca="1">"Week "&amp;WEEKNUM(TODAY())&amp;" ("&amp;TEXT(TODAY(),"dd mmm")&amp;")"</f>
        <v>Week 40 (04 Oct)</v>
      </c>
      <c r="K11" s="177"/>
      <c r="L11" s="177"/>
      <c r="M11" s="177"/>
      <c r="N11" s="177"/>
      <c r="O11" s="178"/>
      <c r="P11" s="8"/>
      <c r="Q11" s="176" t="str">
        <f ca="1">TEXT(TODAY(), "mmmm yyyy")</f>
        <v>October 2025</v>
      </c>
      <c r="R11" s="177"/>
      <c r="S11" s="177"/>
      <c r="T11" s="177"/>
      <c r="U11" s="177"/>
      <c r="V11" s="178"/>
      <c r="W11" s="8"/>
      <c r="X11" s="8"/>
      <c r="Y11" s="8"/>
      <c r="Z11" s="8"/>
      <c r="AA11" s="8"/>
      <c r="AB11" s="8"/>
      <c r="AC11" s="8"/>
      <c r="AD11" s="8"/>
      <c r="AE11" s="8"/>
      <c r="AF11" s="8"/>
    </row>
    <row r="12" spans="1:43" ht="34" customHeight="1" x14ac:dyDescent="0.2">
      <c r="A12" s="8"/>
      <c r="B12" s="8"/>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114" t="s">
        <v>323</v>
      </c>
      <c r="AJ12" s="114" t="s">
        <v>324</v>
      </c>
      <c r="AM12" s="114" t="s">
        <v>327</v>
      </c>
    </row>
    <row r="13" spans="1:43" x14ac:dyDescent="0.2">
      <c r="A13" s="8"/>
      <c r="B13" s="8"/>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110" t="s">
        <v>314</v>
      </c>
      <c r="AH13" t="s">
        <v>312</v>
      </c>
      <c r="AJ13" s="110" t="s">
        <v>314</v>
      </c>
      <c r="AK13" t="s">
        <v>311</v>
      </c>
      <c r="AM13" s="110" t="s">
        <v>314</v>
      </c>
      <c r="AN13" t="s">
        <v>328</v>
      </c>
    </row>
    <row r="14" spans="1:43" x14ac:dyDescent="0.2">
      <c r="A14" s="8"/>
      <c r="B14" s="8"/>
      <c r="C14" s="8"/>
      <c r="D14" s="8"/>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111">
        <v>45828</v>
      </c>
      <c r="AH14" s="113">
        <v>0.19444444444444445</v>
      </c>
      <c r="AJ14" s="112">
        <v>31</v>
      </c>
      <c r="AK14" s="113">
        <v>0.78260869565217395</v>
      </c>
      <c r="AM14" s="112" t="s">
        <v>316</v>
      </c>
      <c r="AN14" s="113">
        <v>0.27272727272727271</v>
      </c>
    </row>
    <row r="15" spans="1:43" ht="28" customHeight="1" x14ac:dyDescent="0.2">
      <c r="A15" s="8"/>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111">
        <v>45831</v>
      </c>
      <c r="AH15" s="113">
        <v>0</v>
      </c>
    </row>
    <row r="16" spans="1:43" ht="23" customHeight="1" x14ac:dyDescent="0.2">
      <c r="A16" s="8"/>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111">
        <v>45832</v>
      </c>
      <c r="AH16" s="113">
        <v>0</v>
      </c>
    </row>
    <row r="17" spans="1:34" ht="20" customHeight="1" x14ac:dyDescent="0.2">
      <c r="A17" s="8"/>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111">
        <v>45833</v>
      </c>
      <c r="AH17" s="113">
        <v>0</v>
      </c>
    </row>
    <row r="18" spans="1:34" x14ac:dyDescent="0.2">
      <c r="A18" s="8"/>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111">
        <v>45834</v>
      </c>
      <c r="AH18" s="113">
        <v>0</v>
      </c>
    </row>
    <row r="19" spans="1:34" x14ac:dyDescent="0.2">
      <c r="A19" s="8"/>
      <c r="B19" s="8"/>
      <c r="C19" s="8"/>
      <c r="D19" s="8"/>
      <c r="E19" s="8"/>
      <c r="F19" s="8"/>
      <c r="G19" s="125"/>
      <c r="H19" s="8"/>
      <c r="I19" s="8"/>
      <c r="J19" s="8"/>
      <c r="K19" s="8"/>
      <c r="L19" s="8"/>
      <c r="M19" s="8"/>
      <c r="N19" s="8"/>
      <c r="O19" s="8"/>
      <c r="P19" s="8"/>
      <c r="Q19" s="8"/>
      <c r="R19" s="8"/>
      <c r="S19" s="8"/>
      <c r="T19" s="8"/>
      <c r="U19" s="8"/>
      <c r="V19" s="8"/>
      <c r="W19" s="8"/>
      <c r="X19" s="8"/>
      <c r="Y19" s="8"/>
      <c r="Z19" s="8"/>
      <c r="AA19" s="8"/>
      <c r="AB19" s="8"/>
      <c r="AC19" s="8"/>
      <c r="AD19" s="8"/>
      <c r="AE19" s="8"/>
      <c r="AF19" s="8"/>
      <c r="AG19" s="111">
        <v>45835</v>
      </c>
      <c r="AH19" s="113">
        <v>0</v>
      </c>
    </row>
    <row r="20" spans="1:34" x14ac:dyDescent="0.2">
      <c r="A20" s="8"/>
      <c r="B20" s="8"/>
      <c r="C20" s="8"/>
      <c r="D20" s="8"/>
      <c r="E20" s="8"/>
      <c r="F20" s="8"/>
      <c r="G20" s="125"/>
      <c r="H20" s="8"/>
      <c r="I20" s="8"/>
      <c r="J20" s="8"/>
      <c r="K20" s="8"/>
      <c r="L20" s="8"/>
      <c r="M20" s="8"/>
      <c r="N20" s="8"/>
      <c r="O20" s="8"/>
      <c r="P20" s="8"/>
      <c r="Q20" s="8"/>
      <c r="R20" s="8"/>
      <c r="S20" s="8"/>
      <c r="T20" s="8"/>
      <c r="U20" s="8"/>
      <c r="V20" s="8"/>
      <c r="W20" s="8"/>
      <c r="X20" s="8"/>
      <c r="Y20" s="8"/>
      <c r="Z20" s="8"/>
      <c r="AA20" s="8"/>
      <c r="AB20" s="8"/>
      <c r="AC20" s="8"/>
      <c r="AD20" s="8"/>
      <c r="AE20" s="8"/>
      <c r="AF20" s="8"/>
      <c r="AG20" s="111">
        <v>45838</v>
      </c>
      <c r="AH20" s="113">
        <v>0</v>
      </c>
    </row>
    <row r="21" spans="1:34" x14ac:dyDescent="0.2">
      <c r="A21" s="8"/>
      <c r="B21" s="8"/>
      <c r="C21" s="8"/>
      <c r="D21" s="8"/>
      <c r="E21" s="8"/>
      <c r="F21" s="8"/>
      <c r="G21" s="125"/>
      <c r="H21" s="8"/>
      <c r="I21" s="8"/>
      <c r="J21" s="8"/>
      <c r="K21" s="8"/>
      <c r="L21" s="8"/>
      <c r="M21" s="8"/>
      <c r="N21" s="8"/>
      <c r="O21" s="8"/>
      <c r="P21" s="8"/>
      <c r="Q21" s="8"/>
      <c r="R21" s="8"/>
      <c r="S21" s="8"/>
      <c r="T21" s="8"/>
      <c r="U21" s="8"/>
      <c r="V21" s="8"/>
      <c r="W21" s="8"/>
      <c r="X21" s="8"/>
      <c r="Y21" s="8"/>
      <c r="Z21" s="8"/>
      <c r="AA21" s="8"/>
      <c r="AB21" s="8"/>
      <c r="AC21" s="8"/>
      <c r="AD21" s="8"/>
      <c r="AE21" s="8"/>
      <c r="AF21" s="8"/>
      <c r="AG21" s="111">
        <v>45839</v>
      </c>
      <c r="AH21" s="113">
        <v>0</v>
      </c>
    </row>
    <row r="22" spans="1:34" x14ac:dyDescent="0.2">
      <c r="A22" s="8"/>
      <c r="B22" s="8"/>
      <c r="C22" s="8"/>
      <c r="D22" s="8"/>
      <c r="E22" s="8"/>
      <c r="F22" s="8"/>
      <c r="G22" s="125"/>
      <c r="H22" s="8"/>
      <c r="I22" s="8"/>
      <c r="J22" s="8"/>
      <c r="K22" s="8"/>
      <c r="L22" s="8"/>
      <c r="M22" s="8"/>
      <c r="N22" s="8"/>
      <c r="O22" s="8"/>
      <c r="P22" s="8"/>
      <c r="Q22" s="8"/>
      <c r="R22" s="8"/>
      <c r="S22" s="8"/>
      <c r="T22" s="8"/>
      <c r="U22" s="8"/>
      <c r="V22" s="8"/>
      <c r="W22" s="8"/>
      <c r="X22" s="8"/>
      <c r="Y22" s="8"/>
      <c r="Z22" s="8"/>
      <c r="AA22" s="8"/>
      <c r="AB22" s="8"/>
      <c r="AC22" s="8"/>
      <c r="AD22" s="8"/>
      <c r="AE22" s="8"/>
      <c r="AF22" s="8"/>
      <c r="AG22" s="111">
        <v>45840</v>
      </c>
      <c r="AH22" s="113">
        <v>0</v>
      </c>
    </row>
    <row r="23" spans="1:34" x14ac:dyDescent="0.2">
      <c r="A23" s="8"/>
      <c r="B23" s="8"/>
      <c r="C23" s="8"/>
      <c r="D23" s="8"/>
      <c r="E23" s="8"/>
      <c r="F23" s="8"/>
      <c r="G23" s="125"/>
      <c r="H23" s="8"/>
      <c r="I23" s="8"/>
      <c r="J23" s="8"/>
      <c r="K23" s="8"/>
      <c r="L23" s="8"/>
      <c r="M23" s="8"/>
      <c r="N23" s="8"/>
      <c r="O23" s="8"/>
      <c r="P23" s="8"/>
      <c r="Q23" s="8"/>
      <c r="R23" s="8"/>
      <c r="S23" s="8"/>
      <c r="T23" s="8"/>
      <c r="U23" s="8"/>
      <c r="V23" s="8"/>
      <c r="W23" s="8"/>
      <c r="X23" s="8"/>
      <c r="Y23" s="8"/>
      <c r="Z23" s="8"/>
      <c r="AA23" s="8"/>
      <c r="AB23" s="8"/>
      <c r="AC23" s="8"/>
      <c r="AD23" s="8"/>
      <c r="AE23" s="8"/>
      <c r="AF23" s="8"/>
      <c r="AG23" s="111">
        <v>45841</v>
      </c>
      <c r="AH23" s="113">
        <v>0</v>
      </c>
    </row>
    <row r="24" spans="1:34" x14ac:dyDescent="0.2">
      <c r="A24" s="8"/>
      <c r="B24" s="8"/>
      <c r="C24" s="8"/>
      <c r="D24" s="8"/>
      <c r="E24" s="8"/>
      <c r="F24" s="8"/>
      <c r="G24" s="125"/>
      <c r="H24" s="8"/>
      <c r="I24" s="8"/>
      <c r="J24" s="8"/>
      <c r="K24" s="8"/>
      <c r="L24" s="8"/>
      <c r="M24" s="8"/>
      <c r="N24" s="8"/>
      <c r="O24" s="8"/>
      <c r="P24" s="8"/>
      <c r="Q24" s="8"/>
      <c r="R24" s="8"/>
      <c r="S24" s="8"/>
      <c r="T24" s="8"/>
      <c r="U24" s="8"/>
      <c r="V24" s="8"/>
      <c r="W24" s="8"/>
      <c r="X24" s="8"/>
      <c r="Y24" s="8"/>
      <c r="Z24" s="8"/>
      <c r="AA24" s="8"/>
      <c r="AB24" s="8"/>
      <c r="AC24" s="8"/>
      <c r="AD24" s="8"/>
      <c r="AE24" s="8"/>
      <c r="AF24" s="8"/>
      <c r="AG24" s="111">
        <v>45842</v>
      </c>
      <c r="AH24" s="113">
        <v>0</v>
      </c>
    </row>
    <row r="25" spans="1:34" x14ac:dyDescent="0.2">
      <c r="A25" s="8"/>
      <c r="B25" s="8"/>
      <c r="C25" s="8"/>
      <c r="D25" s="8"/>
      <c r="E25" s="8"/>
      <c r="F25" s="8"/>
      <c r="G25" s="125"/>
      <c r="H25" s="8"/>
      <c r="I25" s="8"/>
      <c r="J25" s="8"/>
      <c r="K25" s="8"/>
      <c r="L25" s="8"/>
      <c r="M25" s="8"/>
      <c r="N25" s="8"/>
      <c r="O25" s="8"/>
      <c r="P25" s="8"/>
      <c r="Q25" s="8"/>
      <c r="R25" s="8"/>
      <c r="S25" s="8"/>
      <c r="T25" s="8"/>
      <c r="U25" s="8"/>
      <c r="V25" s="8"/>
      <c r="W25" s="8"/>
      <c r="X25" s="8"/>
      <c r="Y25" s="8"/>
      <c r="Z25" s="8"/>
      <c r="AA25" s="8"/>
      <c r="AB25" s="8"/>
      <c r="AC25" s="8"/>
      <c r="AD25" s="8"/>
      <c r="AE25" s="8"/>
      <c r="AF25" s="8"/>
      <c r="AG25" s="111">
        <v>45845</v>
      </c>
      <c r="AH25" s="113">
        <v>0</v>
      </c>
    </row>
    <row r="26" spans="1:34" x14ac:dyDescent="0.2">
      <c r="A26" s="8"/>
      <c r="B26" s="8"/>
      <c r="C26" s="8"/>
      <c r="D26" s="8"/>
      <c r="E26" s="8"/>
      <c r="F26" s="8"/>
      <c r="G26" s="125"/>
      <c r="H26" s="8"/>
      <c r="I26" s="8"/>
      <c r="J26" s="8"/>
      <c r="K26" s="8"/>
      <c r="L26" s="8"/>
      <c r="M26" s="8"/>
      <c r="N26" s="8"/>
      <c r="O26" s="8"/>
      <c r="P26" s="8"/>
      <c r="Q26" s="8"/>
      <c r="R26" s="8"/>
      <c r="S26" s="8"/>
      <c r="T26" s="8"/>
      <c r="U26" s="8"/>
      <c r="V26" s="8"/>
      <c r="W26" s="8"/>
      <c r="X26" s="8"/>
      <c r="Y26" s="8"/>
      <c r="Z26" s="8"/>
      <c r="AA26" s="8"/>
      <c r="AB26" s="8"/>
      <c r="AC26" s="8"/>
      <c r="AD26" s="8"/>
      <c r="AE26" s="8"/>
      <c r="AF26" s="8"/>
      <c r="AG26" s="111">
        <v>45846</v>
      </c>
      <c r="AH26" s="113">
        <v>0</v>
      </c>
    </row>
    <row r="27" spans="1:34" x14ac:dyDescent="0.2">
      <c r="A27" s="8"/>
      <c r="B27" s="8"/>
      <c r="C27" s="8"/>
      <c r="D27" s="8"/>
      <c r="E27" s="8"/>
      <c r="F27" s="8"/>
      <c r="G27" s="125"/>
      <c r="H27" s="8"/>
      <c r="I27" s="8"/>
      <c r="J27" s="8"/>
      <c r="K27" s="8"/>
      <c r="L27" s="8"/>
      <c r="M27" s="8"/>
      <c r="N27" s="8"/>
      <c r="O27" s="8"/>
      <c r="P27" s="8"/>
      <c r="Q27" s="8"/>
      <c r="R27" s="8"/>
      <c r="S27" s="8"/>
      <c r="T27" s="8"/>
      <c r="U27" s="8"/>
      <c r="V27" s="8"/>
      <c r="W27" s="8"/>
      <c r="X27" s="8"/>
      <c r="Y27" s="8"/>
      <c r="Z27" s="8"/>
      <c r="AA27" s="8"/>
      <c r="AB27" s="8"/>
      <c r="AC27" s="8"/>
      <c r="AD27" s="8"/>
      <c r="AE27" s="8"/>
      <c r="AF27" s="8"/>
      <c r="AG27" s="111">
        <v>45847</v>
      </c>
      <c r="AH27" s="113">
        <v>0</v>
      </c>
    </row>
    <row r="28" spans="1:34" x14ac:dyDescent="0.2">
      <c r="A28" s="8"/>
      <c r="B28" s="8"/>
      <c r="C28" s="8"/>
      <c r="D28" s="8"/>
      <c r="E28" s="8"/>
      <c r="F28" s="8"/>
      <c r="G28" s="125"/>
      <c r="H28" s="8"/>
      <c r="I28" s="8"/>
      <c r="J28" s="8"/>
      <c r="K28" s="8"/>
      <c r="L28" s="8"/>
      <c r="M28" s="8"/>
      <c r="N28" s="8"/>
      <c r="O28" s="8"/>
      <c r="P28" s="8"/>
      <c r="Q28" s="8"/>
      <c r="R28" s="8"/>
      <c r="S28" s="8"/>
      <c r="T28" s="8"/>
      <c r="U28" s="8"/>
      <c r="V28" s="8"/>
      <c r="W28" s="8"/>
      <c r="X28" s="8"/>
      <c r="Y28" s="8"/>
      <c r="Z28" s="8"/>
      <c r="AA28" s="8"/>
      <c r="AB28" s="8"/>
      <c r="AC28" s="8"/>
      <c r="AD28" s="8"/>
      <c r="AE28" s="8"/>
      <c r="AF28" s="8"/>
      <c r="AG28" s="111">
        <v>45848</v>
      </c>
      <c r="AH28" s="113">
        <v>0</v>
      </c>
    </row>
    <row r="29" spans="1:34" x14ac:dyDescent="0.2">
      <c r="A29" s="8"/>
      <c r="B29" s="8"/>
      <c r="C29" s="8"/>
      <c r="D29" s="8"/>
      <c r="E29" s="8"/>
      <c r="F29" s="8"/>
      <c r="G29" s="125"/>
      <c r="H29" s="8"/>
      <c r="I29" s="8"/>
      <c r="J29" s="8"/>
      <c r="K29" s="8"/>
      <c r="L29" s="8"/>
      <c r="M29" s="8"/>
      <c r="N29" s="8"/>
      <c r="O29" s="8"/>
      <c r="P29" s="8"/>
      <c r="Q29" s="8"/>
      <c r="R29" s="8"/>
      <c r="S29" s="8"/>
      <c r="T29" s="8"/>
      <c r="U29" s="8"/>
      <c r="V29" s="8"/>
      <c r="W29" s="8"/>
      <c r="X29" s="8"/>
      <c r="Y29" s="8"/>
      <c r="Z29" s="8"/>
      <c r="AA29" s="8"/>
      <c r="AB29" s="8"/>
      <c r="AC29" s="8"/>
      <c r="AD29" s="8"/>
      <c r="AE29" s="8"/>
      <c r="AF29" s="8"/>
      <c r="AG29" s="111">
        <v>45849</v>
      </c>
      <c r="AH29" s="113">
        <v>0</v>
      </c>
    </row>
    <row r="30" spans="1:34" x14ac:dyDescent="0.2">
      <c r="A30" s="8"/>
      <c r="B30" s="8"/>
      <c r="C30" s="8"/>
      <c r="D30" s="8"/>
      <c r="E30" s="8"/>
      <c r="F30" s="8"/>
      <c r="G30" s="125"/>
      <c r="H30" s="8"/>
      <c r="I30" s="8"/>
      <c r="J30" s="8"/>
      <c r="K30" s="8"/>
      <c r="L30" s="8"/>
      <c r="M30" s="8"/>
      <c r="N30" s="8"/>
      <c r="O30" s="8"/>
      <c r="P30" s="8"/>
      <c r="Q30" s="8"/>
      <c r="R30" s="8"/>
      <c r="S30" s="8"/>
      <c r="T30" s="8"/>
      <c r="U30" s="8"/>
      <c r="V30" s="8"/>
      <c r="W30" s="8"/>
      <c r="X30" s="8"/>
      <c r="Y30" s="8"/>
      <c r="Z30" s="8"/>
      <c r="AA30" s="8"/>
      <c r="AB30" s="8"/>
      <c r="AC30" s="8"/>
      <c r="AD30" s="8"/>
      <c r="AE30" s="8"/>
      <c r="AF30" s="8"/>
      <c r="AG30" s="111">
        <v>45852</v>
      </c>
      <c r="AH30" s="113">
        <v>0</v>
      </c>
    </row>
    <row r="31" spans="1:34" x14ac:dyDescent="0.2">
      <c r="A31" s="8"/>
      <c r="B31" s="8"/>
      <c r="C31" s="8"/>
      <c r="D31" s="8"/>
      <c r="E31" s="8"/>
      <c r="F31" s="8"/>
      <c r="G31" s="125"/>
      <c r="H31" s="8"/>
      <c r="I31" s="8"/>
      <c r="J31" s="8"/>
      <c r="K31" s="8"/>
      <c r="L31" s="8"/>
      <c r="M31" s="8"/>
      <c r="N31" s="8"/>
      <c r="O31" s="8"/>
      <c r="P31" s="8"/>
      <c r="Q31" s="8"/>
      <c r="R31" s="8"/>
      <c r="S31" s="8"/>
      <c r="T31" s="8"/>
      <c r="U31" s="8"/>
      <c r="V31" s="8"/>
      <c r="W31" s="8"/>
      <c r="X31" s="8"/>
      <c r="Y31" s="8"/>
      <c r="Z31" s="8"/>
      <c r="AA31" s="8"/>
      <c r="AB31" s="8"/>
      <c r="AC31" s="8"/>
      <c r="AD31" s="8"/>
      <c r="AE31" s="8"/>
      <c r="AF31" s="8"/>
      <c r="AG31" s="111">
        <v>45853</v>
      </c>
      <c r="AH31" s="113">
        <v>0</v>
      </c>
    </row>
    <row r="32" spans="1:34" x14ac:dyDescent="0.2">
      <c r="A32" s="8"/>
      <c r="B32" s="8"/>
      <c r="C32" s="8"/>
      <c r="D32" s="8"/>
      <c r="E32" s="8"/>
      <c r="F32" s="8"/>
      <c r="G32" s="125"/>
      <c r="H32" s="8"/>
      <c r="I32" s="8"/>
      <c r="J32" s="8"/>
      <c r="K32" s="8"/>
      <c r="L32" s="8"/>
      <c r="M32" s="8"/>
      <c r="N32" s="8"/>
      <c r="O32" s="8"/>
      <c r="P32" s="8"/>
      <c r="Q32" s="8"/>
      <c r="R32" s="8"/>
      <c r="S32" s="8"/>
      <c r="T32" s="8"/>
      <c r="U32" s="8"/>
      <c r="V32" s="8"/>
      <c r="W32" s="8"/>
      <c r="X32" s="8"/>
      <c r="Y32" s="8"/>
      <c r="Z32" s="8"/>
      <c r="AA32" s="8"/>
      <c r="AB32" s="8"/>
      <c r="AC32" s="8"/>
      <c r="AD32" s="8"/>
      <c r="AE32" s="8"/>
      <c r="AF32" s="8"/>
      <c r="AG32" s="111">
        <v>45854</v>
      </c>
      <c r="AH32" s="113">
        <v>0</v>
      </c>
    </row>
    <row r="33" spans="1:34" x14ac:dyDescent="0.2">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111">
        <v>45855</v>
      </c>
      <c r="AH33" s="113">
        <v>0</v>
      </c>
    </row>
    <row r="34" spans="1:34" x14ac:dyDescent="0.2">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111">
        <v>45856</v>
      </c>
      <c r="AH34" s="113">
        <v>0</v>
      </c>
    </row>
    <row r="35" spans="1:34" x14ac:dyDescent="0.2">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111">
        <v>45859</v>
      </c>
      <c r="AH35" s="113">
        <v>0</v>
      </c>
    </row>
    <row r="36" spans="1:34" x14ac:dyDescent="0.2">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111">
        <v>45860</v>
      </c>
      <c r="AH36" s="113">
        <v>0</v>
      </c>
    </row>
    <row r="37" spans="1:34" x14ac:dyDescent="0.2">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111">
        <v>45861</v>
      </c>
      <c r="AH37" s="113">
        <v>0</v>
      </c>
    </row>
    <row r="38" spans="1:34" x14ac:dyDescent="0.2">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111">
        <v>45862</v>
      </c>
      <c r="AH38" s="113">
        <v>0</v>
      </c>
    </row>
    <row r="39" spans="1:34" x14ac:dyDescent="0.2">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111">
        <v>45863</v>
      </c>
      <c r="AH39" s="113">
        <v>0</v>
      </c>
    </row>
    <row r="40" spans="1:34" x14ac:dyDescent="0.2">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111">
        <v>45866</v>
      </c>
      <c r="AH40" s="113">
        <v>0</v>
      </c>
    </row>
    <row r="41" spans="1:34" x14ac:dyDescent="0.2">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111">
        <v>45867</v>
      </c>
      <c r="AH41" s="113">
        <v>0</v>
      </c>
    </row>
    <row r="42" spans="1:34" x14ac:dyDescent="0.2">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111">
        <v>45868</v>
      </c>
      <c r="AH42" s="113">
        <v>0</v>
      </c>
    </row>
    <row r="43" spans="1:34" x14ac:dyDescent="0.2">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111">
        <v>45869</v>
      </c>
      <c r="AH43" s="113">
        <v>0.5</v>
      </c>
    </row>
    <row r="44" spans="1:34" x14ac:dyDescent="0.2">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row>
    <row r="45" spans="1:34" x14ac:dyDescent="0.2">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row>
    <row r="46" spans="1:34" x14ac:dyDescent="0.2">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row>
    <row r="47" spans="1:34" x14ac:dyDescent="0.2">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row>
    <row r="48" spans="1:34" ht="28" customHeight="1" x14ac:dyDescent="0.2">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row>
    <row r="49" spans="1:32" ht="28" customHeight="1" x14ac:dyDescent="0.2">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row>
    <row r="50" spans="1:32" x14ac:dyDescent="0.2">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row>
    <row r="51" spans="1:32" x14ac:dyDescent="0.2">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row>
    <row r="52" spans="1:32" x14ac:dyDescent="0.2">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row>
    <row r="53" spans="1:32" x14ac:dyDescent="0.2">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row>
    <row r="54" spans="1:32" x14ac:dyDescent="0.2">
      <c r="A54" s="8"/>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row>
    <row r="55" spans="1:32" x14ac:dyDescent="0.2">
      <c r="A55" s="8"/>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row>
    <row r="56" spans="1:32" x14ac:dyDescent="0.2">
      <c r="A56" s="8"/>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row>
    <row r="57" spans="1:32" x14ac:dyDescent="0.2">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row>
    <row r="58" spans="1:32" x14ac:dyDescent="0.2">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row>
    <row r="59" spans="1:32" x14ac:dyDescent="0.2">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row>
    <row r="60" spans="1:32" x14ac:dyDescent="0.2">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row>
    <row r="61" spans="1:32" x14ac:dyDescent="0.2">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row>
    <row r="62" spans="1:32" x14ac:dyDescent="0.2">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row>
    <row r="63" spans="1:32" x14ac:dyDescent="0.2">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row>
    <row r="64" spans="1:32" x14ac:dyDescent="0.2">
      <c r="A64" s="8"/>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row>
    <row r="65" spans="1:32" x14ac:dyDescent="0.2">
      <c r="A65" s="8"/>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row>
    <row r="66" spans="1:32" x14ac:dyDescent="0.2">
      <c r="A66" s="8"/>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row>
    <row r="67" spans="1:32" x14ac:dyDescent="0.2">
      <c r="A67" s="8"/>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row>
    <row r="68" spans="1:32" x14ac:dyDescent="0.2">
      <c r="A68" s="8"/>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row>
    <row r="69" spans="1:32" x14ac:dyDescent="0.2">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row>
    <row r="70" spans="1:32" x14ac:dyDescent="0.2">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row>
    <row r="71" spans="1:32" x14ac:dyDescent="0.2">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row>
    <row r="72" spans="1:32" x14ac:dyDescent="0.2">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row>
    <row r="73" spans="1:32" x14ac:dyDescent="0.2">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row>
    <row r="74" spans="1:32" x14ac:dyDescent="0.2">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row>
    <row r="75" spans="1:32" x14ac:dyDescent="0.2">
      <c r="A75" s="8"/>
      <c r="B75" s="8"/>
      <c r="C75" s="8"/>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row>
    <row r="76" spans="1:32" x14ac:dyDescent="0.2">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row>
    <row r="77" spans="1:32" x14ac:dyDescent="0.2">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row>
    <row r="78" spans="1:32" x14ac:dyDescent="0.2">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row>
    <row r="79" spans="1:32" x14ac:dyDescent="0.2">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row>
    <row r="80" spans="1:32" x14ac:dyDescent="0.2">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row>
    <row r="81" spans="1:32" x14ac:dyDescent="0.2">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row>
    <row r="82" spans="1:32" x14ac:dyDescent="0.2">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row>
    <row r="83" spans="1:32" x14ac:dyDescent="0.2">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row>
    <row r="84" spans="1:32" x14ac:dyDescent="0.2">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row>
    <row r="85" spans="1:32" x14ac:dyDescent="0.2">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row>
    <row r="86" spans="1:32" x14ac:dyDescent="0.2">
      <c r="A86" s="126"/>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row>
    <row r="87" spans="1:32" x14ac:dyDescent="0.2">
      <c r="A87" s="126"/>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row>
    <row r="88" spans="1:32" x14ac:dyDescent="0.2">
      <c r="A88" s="126"/>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row>
    <row r="89" spans="1:32" x14ac:dyDescent="0.2">
      <c r="A89" s="126"/>
      <c r="B89" s="8"/>
      <c r="C89" s="8"/>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row>
    <row r="90" spans="1:32" x14ac:dyDescent="0.2">
      <c r="A90" s="126"/>
      <c r="B90" s="8"/>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row>
    <row r="91" spans="1:32" x14ac:dyDescent="0.2">
      <c r="A91" s="126"/>
      <c r="B91" s="8"/>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row>
    <row r="92" spans="1:32" x14ac:dyDescent="0.2">
      <c r="A92" s="126"/>
      <c r="B92" s="8"/>
      <c r="C92" s="8"/>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row>
    <row r="93" spans="1:32" x14ac:dyDescent="0.2">
      <c r="A93" s="126"/>
      <c r="B93" s="8"/>
      <c r="C93" s="8"/>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row>
    <row r="94" spans="1:32" x14ac:dyDescent="0.2">
      <c r="A94" s="126"/>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row>
    <row r="95" spans="1:32" x14ac:dyDescent="0.2">
      <c r="A95" s="126"/>
      <c r="B95" s="8"/>
      <c r="C95" s="8"/>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row>
    <row r="96" spans="1:32" x14ac:dyDescent="0.2">
      <c r="A96" s="126"/>
      <c r="B96" s="8"/>
      <c r="C96" s="8"/>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row>
    <row r="97" spans="1:32" x14ac:dyDescent="0.2">
      <c r="A97" s="126"/>
      <c r="B97" s="8"/>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row>
    <row r="98" spans="1:32" x14ac:dyDescent="0.2">
      <c r="A98" s="126"/>
      <c r="B98" s="8"/>
      <c r="C98" s="8"/>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row>
    <row r="99" spans="1:32" x14ac:dyDescent="0.2">
      <c r="A99" s="126"/>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row>
    <row r="100" spans="1:32" x14ac:dyDescent="0.2">
      <c r="A100" s="126"/>
      <c r="B100" s="8"/>
      <c r="C100" s="8"/>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row>
    <row r="101" spans="1:32" x14ac:dyDescent="0.2">
      <c r="A101" s="126"/>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row>
    <row r="102" spans="1:32" x14ac:dyDescent="0.2">
      <c r="A102" s="126"/>
      <c r="B102" s="8"/>
      <c r="C102" s="8"/>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row>
    <row r="103" spans="1:32" x14ac:dyDescent="0.2">
      <c r="A103" s="126"/>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row>
    <row r="104" spans="1:32" x14ac:dyDescent="0.2">
      <c r="A104" s="126"/>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row>
    <row r="105" spans="1:32" x14ac:dyDescent="0.2">
      <c r="A105" s="126"/>
      <c r="B105" s="8"/>
      <c r="C105" s="8"/>
      <c r="D105" s="8"/>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row>
    <row r="106" spans="1:32" x14ac:dyDescent="0.2">
      <c r="A106" s="74"/>
    </row>
    <row r="107" spans="1:32" x14ac:dyDescent="0.2">
      <c r="A107" s="74"/>
    </row>
    <row r="108" spans="1:32" x14ac:dyDescent="0.2">
      <c r="A108" s="74"/>
    </row>
    <row r="109" spans="1:32" x14ac:dyDescent="0.2">
      <c r="A109" s="74"/>
    </row>
    <row r="110" spans="1:32" x14ac:dyDescent="0.2">
      <c r="A110" s="74"/>
    </row>
    <row r="111" spans="1:32" x14ac:dyDescent="0.2">
      <c r="A111" s="74"/>
    </row>
    <row r="112" spans="1:32" x14ac:dyDescent="0.2">
      <c r="A112" s="74"/>
    </row>
    <row r="113" spans="1:1" x14ac:dyDescent="0.2">
      <c r="A113" s="74"/>
    </row>
    <row r="114" spans="1:1" x14ac:dyDescent="0.2">
      <c r="A114" s="74"/>
    </row>
    <row r="115" spans="1:1" x14ac:dyDescent="0.2">
      <c r="A115" s="74"/>
    </row>
    <row r="116" spans="1:1" x14ac:dyDescent="0.2">
      <c r="A116" s="74"/>
    </row>
    <row r="117" spans="1:1" x14ac:dyDescent="0.2">
      <c r="A117" s="74"/>
    </row>
    <row r="118" spans="1:1" x14ac:dyDescent="0.2">
      <c r="A118" s="74"/>
    </row>
    <row r="119" spans="1:1" x14ac:dyDescent="0.2">
      <c r="A119" s="74"/>
    </row>
    <row r="120" spans="1:1" x14ac:dyDescent="0.2">
      <c r="A120" s="74"/>
    </row>
    <row r="121" spans="1:1" x14ac:dyDescent="0.2">
      <c r="A121" s="74"/>
    </row>
    <row r="122" spans="1:1" x14ac:dyDescent="0.2">
      <c r="A122" s="74"/>
    </row>
    <row r="123" spans="1:1" x14ac:dyDescent="0.2">
      <c r="A123" s="74"/>
    </row>
    <row r="124" spans="1:1" x14ac:dyDescent="0.2">
      <c r="A124" s="74"/>
    </row>
    <row r="125" spans="1:1" x14ac:dyDescent="0.2">
      <c r="A125" s="74"/>
    </row>
    <row r="126" spans="1:1" x14ac:dyDescent="0.2">
      <c r="A126" s="74"/>
    </row>
    <row r="127" spans="1:1" x14ac:dyDescent="0.2">
      <c r="A127" s="74"/>
    </row>
    <row r="128" spans="1:1" x14ac:dyDescent="0.2">
      <c r="A128" s="74"/>
    </row>
    <row r="129" spans="1:1" x14ac:dyDescent="0.2">
      <c r="A129" s="74"/>
    </row>
    <row r="130" spans="1:1" x14ac:dyDescent="0.2">
      <c r="A130" s="74"/>
    </row>
    <row r="131" spans="1:1" x14ac:dyDescent="0.2">
      <c r="A131" s="74"/>
    </row>
    <row r="132" spans="1:1" x14ac:dyDescent="0.2">
      <c r="A132" s="74"/>
    </row>
    <row r="133" spans="1:1" x14ac:dyDescent="0.2">
      <c r="A133" s="74"/>
    </row>
    <row r="134" spans="1:1" x14ac:dyDescent="0.2">
      <c r="A134" s="74"/>
    </row>
    <row r="135" spans="1:1" x14ac:dyDescent="0.2">
      <c r="A135" s="74"/>
    </row>
    <row r="136" spans="1:1" x14ac:dyDescent="0.2">
      <c r="A136" s="74"/>
    </row>
    <row r="137" spans="1:1" x14ac:dyDescent="0.2">
      <c r="A137" s="74"/>
    </row>
    <row r="138" spans="1:1" x14ac:dyDescent="0.2">
      <c r="A138" s="74"/>
    </row>
    <row r="139" spans="1:1" x14ac:dyDescent="0.2">
      <c r="A139" s="74"/>
    </row>
    <row r="140" spans="1:1" x14ac:dyDescent="0.2">
      <c r="A140" s="74"/>
    </row>
    <row r="141" spans="1:1" x14ac:dyDescent="0.2">
      <c r="A141" s="74"/>
    </row>
    <row r="142" spans="1:1" x14ac:dyDescent="0.2">
      <c r="A142" s="74"/>
    </row>
    <row r="143" spans="1:1" x14ac:dyDescent="0.2">
      <c r="A143" s="74"/>
    </row>
    <row r="144" spans="1:1" x14ac:dyDescent="0.2">
      <c r="A144" s="74"/>
    </row>
    <row r="145" spans="1:1" x14ac:dyDescent="0.2">
      <c r="A145" s="74"/>
    </row>
    <row r="146" spans="1:1" x14ac:dyDescent="0.2">
      <c r="A146" s="74"/>
    </row>
    <row r="147" spans="1:1" x14ac:dyDescent="0.2">
      <c r="A147" s="74"/>
    </row>
    <row r="148" spans="1:1" x14ac:dyDescent="0.2">
      <c r="A148" s="74"/>
    </row>
    <row r="149" spans="1:1" x14ac:dyDescent="0.2">
      <c r="A149" s="74"/>
    </row>
    <row r="150" spans="1:1" x14ac:dyDescent="0.2">
      <c r="A150" s="74"/>
    </row>
    <row r="151" spans="1:1" x14ac:dyDescent="0.2">
      <c r="A151" s="74"/>
    </row>
    <row r="152" spans="1:1" x14ac:dyDescent="0.2">
      <c r="A152" s="74"/>
    </row>
    <row r="153" spans="1:1" x14ac:dyDescent="0.2">
      <c r="A153" s="74"/>
    </row>
    <row r="154" spans="1:1" x14ac:dyDescent="0.2">
      <c r="A154" s="74"/>
    </row>
    <row r="155" spans="1:1" x14ac:dyDescent="0.2">
      <c r="A155" s="74"/>
    </row>
    <row r="156" spans="1:1" x14ac:dyDescent="0.2">
      <c r="A156" s="74"/>
    </row>
    <row r="157" spans="1:1" x14ac:dyDescent="0.2">
      <c r="A157" s="74"/>
    </row>
    <row r="158" spans="1:1" x14ac:dyDescent="0.2">
      <c r="A158" s="74"/>
    </row>
    <row r="159" spans="1:1" x14ac:dyDescent="0.2">
      <c r="A159" s="74"/>
    </row>
    <row r="160" spans="1:1" x14ac:dyDescent="0.2">
      <c r="A160" s="74"/>
    </row>
    <row r="161" spans="1:1" x14ac:dyDescent="0.2">
      <c r="A161" s="74"/>
    </row>
    <row r="162" spans="1:1" x14ac:dyDescent="0.2">
      <c r="A162" s="74"/>
    </row>
    <row r="163" spans="1:1" x14ac:dyDescent="0.2">
      <c r="A163" s="74"/>
    </row>
    <row r="164" spans="1:1" x14ac:dyDescent="0.2">
      <c r="A164" s="74"/>
    </row>
    <row r="165" spans="1:1" x14ac:dyDescent="0.2">
      <c r="A165" s="74"/>
    </row>
    <row r="166" spans="1:1" x14ac:dyDescent="0.2">
      <c r="A166" s="74"/>
    </row>
    <row r="167" spans="1:1" x14ac:dyDescent="0.2">
      <c r="A167" s="74"/>
    </row>
    <row r="168" spans="1:1" x14ac:dyDescent="0.2">
      <c r="A168" s="74"/>
    </row>
    <row r="169" spans="1:1" x14ac:dyDescent="0.2">
      <c r="A169" s="74"/>
    </row>
    <row r="170" spans="1:1" x14ac:dyDescent="0.2">
      <c r="A170" s="74"/>
    </row>
    <row r="171" spans="1:1" x14ac:dyDescent="0.2">
      <c r="A171" s="74"/>
    </row>
    <row r="172" spans="1:1" x14ac:dyDescent="0.2">
      <c r="A172" s="74"/>
    </row>
    <row r="173" spans="1:1" x14ac:dyDescent="0.2">
      <c r="A173" s="74"/>
    </row>
    <row r="174" spans="1:1" x14ac:dyDescent="0.2">
      <c r="A174" s="74"/>
    </row>
    <row r="175" spans="1:1" x14ac:dyDescent="0.2">
      <c r="A175" s="74"/>
    </row>
    <row r="176" spans="1:1" x14ac:dyDescent="0.2">
      <c r="A176" s="74"/>
    </row>
    <row r="177" spans="1:1" x14ac:dyDescent="0.2">
      <c r="A177" s="74"/>
    </row>
    <row r="178" spans="1:1" x14ac:dyDescent="0.2">
      <c r="A178" s="74"/>
    </row>
    <row r="179" spans="1:1" x14ac:dyDescent="0.2">
      <c r="A179" s="74"/>
    </row>
    <row r="180" spans="1:1" x14ac:dyDescent="0.2">
      <c r="A180" s="74"/>
    </row>
    <row r="181" spans="1:1" x14ac:dyDescent="0.2">
      <c r="A181" s="74"/>
    </row>
    <row r="182" spans="1:1" x14ac:dyDescent="0.2">
      <c r="A182" s="74"/>
    </row>
    <row r="183" spans="1:1" x14ac:dyDescent="0.2">
      <c r="A183" s="74"/>
    </row>
  </sheetData>
  <mergeCells count="11">
    <mergeCell ref="A1:Q1"/>
    <mergeCell ref="C8:H8"/>
    <mergeCell ref="J8:O8"/>
    <mergeCell ref="Q8:V8"/>
    <mergeCell ref="A2:Z5"/>
    <mergeCell ref="Q11:V11"/>
    <mergeCell ref="S9:T9"/>
    <mergeCell ref="C11:H11"/>
    <mergeCell ref="J11:O11"/>
    <mergeCell ref="L9:M9"/>
    <mergeCell ref="E9:F9"/>
  </mergeCells>
  <phoneticPr fontId="17" type="noConversion"/>
  <conditionalFormatting sqref="R9:S9 U9:V9">
    <cfRule type="iconSet" priority="79">
      <iconSet>
        <cfvo type="percent" val="0"/>
        <cfvo type="num" val="0.33"/>
        <cfvo type="num" val="0.67"/>
      </iconSet>
    </cfRule>
  </conditionalFormatting>
  <conditionalFormatting sqref="K9:L9 N9:O9">
    <cfRule type="iconSet" priority="80">
      <iconSet iconSet="4Arrows">
        <cfvo type="percent" val="0"/>
        <cfvo type="percent" val="25"/>
        <cfvo type="percent" val="50"/>
        <cfvo type="percent" val="75"/>
      </iconSet>
    </cfRule>
  </conditionalFormatting>
  <conditionalFormatting sqref="D9:E9 G9:H9">
    <cfRule type="iconSet" priority="81">
      <iconSet iconSet="4Arrows">
        <cfvo type="percent" val="0"/>
        <cfvo type="percent" val="25"/>
        <cfvo type="percent" val="50"/>
        <cfvo type="percent" val="75"/>
      </iconSet>
    </cfRule>
  </conditionalFormatting>
  <conditionalFormatting sqref="E9:F9">
    <cfRule type="iconSet" priority="1">
      <iconSet>
        <cfvo type="percent" val="0"/>
        <cfvo type="num" val="0.33"/>
        <cfvo type="num" val="0.67"/>
      </iconSet>
    </cfRule>
    <cfRule type="iconSet" priority="3">
      <iconSet>
        <cfvo type="percent" val="0"/>
        <cfvo type="percent" val="0.33"/>
        <cfvo type="percent" val="0.67"/>
      </iconSet>
    </cfRule>
  </conditionalFormatting>
  <conditionalFormatting sqref="L9:M9">
    <cfRule type="iconSet" priority="2">
      <iconSet>
        <cfvo type="percent" val="0"/>
        <cfvo type="num" val="0.33"/>
        <cfvo type="num" val="0.67"/>
      </iconSet>
    </cfRule>
  </conditionalFormatting>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32080-9792-A841-864C-8DC12901D12B}">
  <sheetPr codeName="Sheet11"/>
  <dimension ref="A1:E9"/>
  <sheetViews>
    <sheetView zoomScale="130" zoomScaleNormal="130" workbookViewId="0">
      <selection activeCell="D12" sqref="D12"/>
    </sheetView>
  </sheetViews>
  <sheetFormatPr baseColWidth="10" defaultColWidth="11.5" defaultRowHeight="15" x14ac:dyDescent="0.2"/>
  <cols>
    <col min="1" max="1" width="17" bestFit="1" customWidth="1"/>
    <col min="2" max="2" width="18.33203125" customWidth="1"/>
    <col min="4" max="4" width="13.33203125" bestFit="1" customWidth="1"/>
    <col min="5" max="5" width="19.5" bestFit="1" customWidth="1"/>
  </cols>
  <sheetData>
    <row r="1" spans="1:5" x14ac:dyDescent="0.2">
      <c r="A1" s="115" t="s">
        <v>77</v>
      </c>
      <c r="B1" s="116" t="s">
        <v>333</v>
      </c>
      <c r="C1" s="97"/>
    </row>
    <row r="2" spans="1:5" ht="16" thickBot="1" x14ac:dyDescent="0.25">
      <c r="A2" s="36" t="s">
        <v>285</v>
      </c>
      <c r="B2" s="117">
        <v>45934.6875</v>
      </c>
    </row>
    <row r="3" spans="1:5" ht="16" thickBot="1" x14ac:dyDescent="0.25">
      <c r="A3" s="36" t="s">
        <v>284</v>
      </c>
      <c r="B3" s="118">
        <v>45934.583333333336</v>
      </c>
      <c r="D3" s="119" t="s">
        <v>329</v>
      </c>
      <c r="E3" s="130">
        <v>45870.651944444442</v>
      </c>
    </row>
    <row r="4" spans="1:5" x14ac:dyDescent="0.2">
      <c r="A4" s="36" t="s">
        <v>286</v>
      </c>
      <c r="B4" s="118">
        <v>45934.25</v>
      </c>
    </row>
    <row r="5" spans="1:5" x14ac:dyDescent="0.2">
      <c r="A5" s="36" t="s">
        <v>287</v>
      </c>
      <c r="B5" s="118">
        <v>45866.410243055558</v>
      </c>
    </row>
    <row r="6" spans="1:5" x14ac:dyDescent="0.2">
      <c r="A6" s="36" t="s">
        <v>288</v>
      </c>
      <c r="B6" s="118">
        <v>45870.327453703707</v>
      </c>
    </row>
    <row r="7" spans="1:5" x14ac:dyDescent="0.2">
      <c r="A7" s="36" t="s">
        <v>290</v>
      </c>
      <c r="B7" s="118">
        <v>45934.25</v>
      </c>
    </row>
    <row r="8" spans="1:5" x14ac:dyDescent="0.2">
      <c r="A8" s="36" t="s">
        <v>289</v>
      </c>
      <c r="B8" s="118">
        <v>45934.25</v>
      </c>
    </row>
    <row r="9" spans="1:5" x14ac:dyDescent="0.2">
      <c r="A9" s="36" t="s">
        <v>291</v>
      </c>
      <c r="B9" s="118">
        <v>45934.25</v>
      </c>
    </row>
  </sheetData>
  <phoneticPr fontId="17"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B03CE-0AB8-4CF5-826B-81ABBE27F97D}">
  <sheetPr codeName="Sheet8"/>
  <dimension ref="A1:AJ63"/>
  <sheetViews>
    <sheetView showGridLines="0" showRowColHeaders="0" zoomScale="75" zoomScaleNormal="80" workbookViewId="0"/>
  </sheetViews>
  <sheetFormatPr baseColWidth="10" defaultColWidth="8.83203125" defaultRowHeight="15" x14ac:dyDescent="0.2"/>
  <cols>
    <col min="1" max="1" width="33" customWidth="1"/>
    <col min="30" max="30" width="1.5" customWidth="1"/>
  </cols>
  <sheetData>
    <row r="1" spans="1:36" ht="38.5" customHeight="1" x14ac:dyDescent="0.2">
      <c r="A1" s="8" t="s">
        <v>199</v>
      </c>
      <c r="B1" s="186" t="s">
        <v>12</v>
      </c>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86"/>
      <c r="AD1" s="186"/>
      <c r="AE1" s="186"/>
      <c r="AF1" s="186"/>
      <c r="AG1" s="29"/>
      <c r="AH1" s="8"/>
      <c r="AI1" s="8"/>
      <c r="AJ1" s="8"/>
    </row>
    <row r="2" spans="1:36" ht="15.75" customHeight="1" x14ac:dyDescent="0.2">
      <c r="A2" s="8"/>
      <c r="B2" s="186"/>
      <c r="C2" s="186"/>
      <c r="D2" s="186"/>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29"/>
      <c r="AH2" s="8"/>
      <c r="AI2" s="8"/>
      <c r="AJ2" s="8"/>
    </row>
    <row r="3" spans="1:36" ht="5.25" customHeight="1" x14ac:dyDescent="0.2">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row>
    <row r="4" spans="1:36" ht="22" x14ac:dyDescent="0.3">
      <c r="A4" s="8"/>
      <c r="B4" s="8"/>
      <c r="C4" s="185"/>
      <c r="D4" s="185"/>
      <c r="E4" s="185"/>
      <c r="F4" s="185"/>
      <c r="G4" s="185"/>
      <c r="H4" s="185"/>
      <c r="I4" s="185"/>
      <c r="J4" s="185"/>
      <c r="K4" s="185"/>
      <c r="L4" s="185"/>
      <c r="M4" s="185"/>
      <c r="N4" s="8"/>
      <c r="O4" s="8"/>
      <c r="P4" s="8"/>
      <c r="Q4" s="8"/>
      <c r="R4" s="185"/>
      <c r="S4" s="185"/>
      <c r="T4" s="185"/>
      <c r="U4" s="185"/>
      <c r="V4" s="185"/>
      <c r="W4" s="185"/>
      <c r="X4" s="185"/>
      <c r="Y4" s="185"/>
      <c r="Z4" s="185"/>
      <c r="AA4" s="185"/>
      <c r="AB4" s="185"/>
      <c r="AC4" s="8"/>
      <c r="AD4" s="8"/>
      <c r="AE4" s="8"/>
      <c r="AF4" s="8"/>
      <c r="AG4" s="8"/>
      <c r="AH4" s="8"/>
      <c r="AI4" s="8"/>
      <c r="AJ4" s="8"/>
    </row>
    <row r="5" spans="1:36" x14ac:dyDescent="0.2">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row>
    <row r="6" spans="1:36" x14ac:dyDescent="0.2">
      <c r="A6" s="8"/>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row>
    <row r="7" spans="1:36" x14ac:dyDescent="0.2">
      <c r="A7" s="8"/>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row>
    <row r="8" spans="1:36" x14ac:dyDescent="0.2">
      <c r="A8" s="8"/>
      <c r="B8" s="8"/>
      <c r="C8" s="8"/>
      <c r="D8" s="8"/>
      <c r="E8" s="8"/>
      <c r="F8" s="8"/>
      <c r="G8" s="8"/>
      <c r="H8" s="8"/>
      <c r="I8" s="8"/>
      <c r="J8" s="8"/>
      <c r="K8" s="8"/>
      <c r="L8" s="8"/>
      <c r="M8" s="8"/>
      <c r="N8" s="8"/>
      <c r="O8" s="8"/>
      <c r="P8" s="8"/>
      <c r="Q8" s="8"/>
      <c r="R8" s="8"/>
      <c r="S8" s="8"/>
      <c r="T8" s="8"/>
      <c r="U8" s="8"/>
      <c r="V8" s="8"/>
      <c r="W8" s="8"/>
      <c r="X8" s="8"/>
      <c r="Y8" s="8"/>
      <c r="Z8" s="8"/>
      <c r="AA8" s="8"/>
      <c r="AB8" s="8"/>
      <c r="AC8" s="8"/>
      <c r="AD8" s="8"/>
      <c r="AE8" s="8"/>
      <c r="AF8" s="8"/>
      <c r="AG8" s="8"/>
      <c r="AH8" s="8"/>
      <c r="AI8" s="8"/>
      <c r="AJ8" s="8"/>
    </row>
    <row r="9" spans="1:36" x14ac:dyDescent="0.2">
      <c r="A9" s="8"/>
      <c r="B9" s="8"/>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8"/>
      <c r="AI9" s="8"/>
      <c r="AJ9" s="8"/>
    </row>
    <row r="10" spans="1:36" x14ac:dyDescent="0.2">
      <c r="A10" s="8"/>
      <c r="B10" s="8"/>
      <c r="C10" s="8"/>
      <c r="D10" s="8"/>
      <c r="E10" s="8"/>
      <c r="F10" s="8"/>
      <c r="G10" s="8"/>
      <c r="H10" s="8"/>
      <c r="I10" s="8"/>
      <c r="J10" s="8"/>
      <c r="K10" s="8"/>
      <c r="L10" s="8"/>
      <c r="M10" s="8"/>
      <c r="N10" s="8"/>
      <c r="O10" s="8"/>
      <c r="P10" s="8"/>
      <c r="Q10" s="8"/>
      <c r="R10" s="8"/>
      <c r="S10" s="8"/>
      <c r="T10" s="8"/>
      <c r="U10" s="8"/>
      <c r="V10" s="8"/>
      <c r="W10" s="8"/>
      <c r="X10" s="8"/>
      <c r="Y10" s="8"/>
      <c r="Z10" s="8"/>
      <c r="AA10" s="8"/>
      <c r="AB10" s="8"/>
      <c r="AC10" s="8"/>
      <c r="AD10" s="8"/>
      <c r="AE10" s="8"/>
      <c r="AF10" s="8"/>
      <c r="AG10" s="8"/>
      <c r="AH10" s="8"/>
      <c r="AI10" s="8"/>
      <c r="AJ10" s="8"/>
    </row>
    <row r="11" spans="1:36" x14ac:dyDescent="0.2">
      <c r="A11" s="8"/>
      <c r="B11" s="8"/>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8"/>
      <c r="AI11" s="8"/>
      <c r="AJ11" s="8"/>
    </row>
    <row r="12" spans="1:36" x14ac:dyDescent="0.2">
      <c r="A12" s="8"/>
      <c r="B12" s="8"/>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row>
    <row r="13" spans="1:36" x14ac:dyDescent="0.2">
      <c r="A13" s="8"/>
      <c r="B13" s="8"/>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row>
    <row r="14" spans="1:36" x14ac:dyDescent="0.2">
      <c r="A14" s="8"/>
      <c r="B14" s="8"/>
      <c r="C14" s="8"/>
      <c r="D14" s="8"/>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row>
    <row r="15" spans="1:36" x14ac:dyDescent="0.2">
      <c r="A15" s="8"/>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row>
    <row r="16" spans="1:36" x14ac:dyDescent="0.2">
      <c r="A16" s="8"/>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row>
    <row r="17" spans="1:36" x14ac:dyDescent="0.2">
      <c r="A17" s="8"/>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row>
    <row r="18" spans="1:36" x14ac:dyDescent="0.2">
      <c r="A18" s="8"/>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row>
    <row r="19" spans="1:36" x14ac:dyDescent="0.2">
      <c r="A19" s="8"/>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row>
    <row r="20" spans="1:36" x14ac:dyDescent="0.2">
      <c r="A20" s="8"/>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row>
    <row r="21" spans="1:36" x14ac:dyDescent="0.2">
      <c r="A21" s="8"/>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row>
    <row r="22" spans="1:36" x14ac:dyDescent="0.2">
      <c r="A22" s="8"/>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row>
    <row r="23" spans="1:36" x14ac:dyDescent="0.2">
      <c r="A23" s="8"/>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row>
    <row r="24" spans="1:36" x14ac:dyDescent="0.2">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row>
    <row r="25" spans="1:36" x14ac:dyDescent="0.2">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row>
    <row r="26" spans="1:36" x14ac:dyDescent="0.2">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row>
    <row r="27" spans="1:36" ht="22" x14ac:dyDescent="0.3">
      <c r="A27" s="8"/>
      <c r="B27" s="8"/>
      <c r="C27" s="185"/>
      <c r="D27" s="185"/>
      <c r="E27" s="185"/>
      <c r="F27" s="185"/>
      <c r="G27" s="185"/>
      <c r="H27" s="185"/>
      <c r="I27" s="185"/>
      <c r="J27" s="185"/>
      <c r="K27" s="185"/>
      <c r="L27" s="185"/>
      <c r="M27" s="185"/>
      <c r="N27" s="185"/>
      <c r="O27" s="8"/>
      <c r="P27" s="8"/>
      <c r="Q27" s="8"/>
      <c r="R27" s="8"/>
      <c r="S27" s="185"/>
      <c r="T27" s="185"/>
      <c r="U27" s="185"/>
      <c r="V27" s="185"/>
      <c r="W27" s="185"/>
      <c r="X27" s="185"/>
      <c r="Y27" s="185"/>
      <c r="Z27" s="185"/>
      <c r="AA27" s="185"/>
      <c r="AB27" s="8"/>
      <c r="AC27" s="8"/>
      <c r="AD27" s="8"/>
      <c r="AE27" s="8"/>
      <c r="AF27" s="8"/>
      <c r="AG27" s="8"/>
      <c r="AH27" s="8"/>
      <c r="AI27" s="8"/>
      <c r="AJ27" s="8"/>
    </row>
    <row r="28" spans="1:36" x14ac:dyDescent="0.2">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row>
    <row r="29" spans="1:36" x14ac:dyDescent="0.2">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row>
    <row r="30" spans="1:36" x14ac:dyDescent="0.2">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row>
    <row r="31" spans="1:36" x14ac:dyDescent="0.2">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row>
    <row r="32" spans="1:36" x14ac:dyDescent="0.2">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row>
    <row r="33" spans="1:36" x14ac:dyDescent="0.2">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row>
    <row r="34" spans="1:36" x14ac:dyDescent="0.2">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row>
    <row r="35" spans="1:36" x14ac:dyDescent="0.2">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row>
    <row r="36" spans="1:36" x14ac:dyDescent="0.2">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row>
    <row r="37" spans="1:36" x14ac:dyDescent="0.2">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row>
    <row r="38" spans="1:36" x14ac:dyDescent="0.2">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row>
    <row r="39" spans="1:36" x14ac:dyDescent="0.2">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row>
    <row r="40" spans="1:36" x14ac:dyDescent="0.2">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row>
    <row r="41" spans="1:36" x14ac:dyDescent="0.2">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row>
    <row r="42" spans="1:36" x14ac:dyDescent="0.2">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row>
    <row r="43" spans="1:36" x14ac:dyDescent="0.2">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row>
    <row r="44" spans="1:36" x14ac:dyDescent="0.2">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row>
    <row r="45" spans="1:36" x14ac:dyDescent="0.2">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row>
    <row r="46" spans="1:36" x14ac:dyDescent="0.2">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row>
    <row r="47" spans="1:36" x14ac:dyDescent="0.2">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row>
    <row r="48" spans="1:36" x14ac:dyDescent="0.2">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row>
    <row r="49" spans="1:36" x14ac:dyDescent="0.2">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row>
    <row r="50" spans="1:36" x14ac:dyDescent="0.2">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row>
    <row r="51" spans="1:36" x14ac:dyDescent="0.2">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row>
    <row r="52" spans="1:36" x14ac:dyDescent="0.2">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row>
    <row r="53" spans="1:36" x14ac:dyDescent="0.2">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row>
    <row r="54" spans="1:36" x14ac:dyDescent="0.2">
      <c r="A54" s="8"/>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row>
    <row r="55" spans="1:36" x14ac:dyDescent="0.2">
      <c r="A55" s="8"/>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row>
    <row r="56" spans="1:36" x14ac:dyDescent="0.2">
      <c r="A56" s="8"/>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row>
    <row r="57" spans="1:36" x14ac:dyDescent="0.2">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row>
    <row r="58" spans="1:36" x14ac:dyDescent="0.2">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row>
    <row r="59" spans="1:36" x14ac:dyDescent="0.2">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row>
    <row r="60" spans="1:36" x14ac:dyDescent="0.2">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row>
    <row r="61" spans="1:36" x14ac:dyDescent="0.2">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row>
    <row r="62" spans="1:36" x14ac:dyDescent="0.2">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row>
    <row r="63" spans="1:36" x14ac:dyDescent="0.2">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row>
  </sheetData>
  <mergeCells count="5">
    <mergeCell ref="S27:AA27"/>
    <mergeCell ref="C27:N27"/>
    <mergeCell ref="R4:AB4"/>
    <mergeCell ref="B1:AF2"/>
    <mergeCell ref="C4:M4"/>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CD77D-8537-4375-B5FD-9551DEEDC6BD}">
  <sheetPr codeName="Sheet9"/>
  <dimension ref="A1:N83"/>
  <sheetViews>
    <sheetView zoomScale="110" zoomScaleNormal="110" workbookViewId="0">
      <selection activeCell="E61" sqref="E61"/>
    </sheetView>
  </sheetViews>
  <sheetFormatPr baseColWidth="10" defaultColWidth="8.83203125" defaultRowHeight="15" x14ac:dyDescent="0.2"/>
  <cols>
    <col min="1" max="1" width="18.5" style="98" bestFit="1" customWidth="1"/>
    <col min="2" max="2" width="46.6640625" bestFit="1" customWidth="1"/>
    <col min="3" max="3" width="15" bestFit="1" customWidth="1"/>
    <col min="4" max="5" width="12.83203125" bestFit="1" customWidth="1"/>
    <col min="6" max="6" width="9.1640625" customWidth="1"/>
    <col min="7" max="8" width="12.83203125" bestFit="1" customWidth="1"/>
    <col min="9" max="9" width="13.5" bestFit="1" customWidth="1"/>
    <col min="10" max="10" width="10.6640625" style="101" bestFit="1" customWidth="1"/>
    <col min="16" max="16" width="12.1640625" bestFit="1" customWidth="1"/>
    <col min="17" max="17" width="13" bestFit="1" customWidth="1"/>
    <col min="20" max="20" width="12.1640625" bestFit="1" customWidth="1"/>
    <col min="21" max="21" width="14.5" bestFit="1" customWidth="1"/>
    <col min="23" max="23" width="12.1640625" bestFit="1" customWidth="1"/>
    <col min="24" max="24" width="15.33203125" bestFit="1" customWidth="1"/>
  </cols>
  <sheetData>
    <row r="1" spans="1:14" ht="22" x14ac:dyDescent="0.3">
      <c r="A1" s="52" t="s">
        <v>256</v>
      </c>
    </row>
    <row r="2" spans="1:14" x14ac:dyDescent="0.2">
      <c r="A2"/>
    </row>
    <row r="3" spans="1:14" x14ac:dyDescent="0.2">
      <c r="A3" s="99" t="s">
        <v>293</v>
      </c>
      <c r="B3" s="100" t="s">
        <v>239</v>
      </c>
      <c r="C3" s="100" t="s">
        <v>226</v>
      </c>
      <c r="D3" s="100" t="s">
        <v>257</v>
      </c>
      <c r="E3" s="100" t="s">
        <v>258</v>
      </c>
      <c r="F3" s="100" t="s">
        <v>259</v>
      </c>
      <c r="G3" s="100" t="s">
        <v>260</v>
      </c>
      <c r="H3" s="100" t="s">
        <v>261</v>
      </c>
      <c r="I3" s="100" t="s">
        <v>292</v>
      </c>
      <c r="J3" s="102" t="s">
        <v>294</v>
      </c>
      <c r="K3" s="100" t="s">
        <v>295</v>
      </c>
      <c r="L3" s="100" t="s">
        <v>296</v>
      </c>
      <c r="M3" s="100" t="s">
        <v>297</v>
      </c>
      <c r="N3" s="100" t="s">
        <v>298</v>
      </c>
    </row>
    <row r="4" spans="1:14" x14ac:dyDescent="0.2">
      <c r="A4" s="98">
        <v>45828.469976851855</v>
      </c>
      <c r="B4" t="s">
        <v>2</v>
      </c>
      <c r="C4" t="s">
        <v>279</v>
      </c>
      <c r="D4">
        <v>19</v>
      </c>
      <c r="E4">
        <v>25</v>
      </c>
      <c r="F4">
        <v>30</v>
      </c>
      <c r="I4" t="s">
        <v>0</v>
      </c>
      <c r="J4" s="101">
        <f>INT(LogTable[[#This Row],[Date &amp; Time]])</f>
        <v>45828</v>
      </c>
      <c r="K4" t="str">
        <f>TEXT(LogTable[[#This Row],[Date &amp; Time]], "mmm")</f>
        <v>Jun</v>
      </c>
      <c r="L4">
        <f t="shared" ref="L4:L10" si="0">WEEKNUM(A4, 2)</f>
        <v>25</v>
      </c>
      <c r="M4">
        <f t="shared" ref="M4:M10" si="1">YEAR(A4)</f>
        <v>2025</v>
      </c>
      <c r="N4" t="str">
        <f t="shared" ref="N4:N10" si="2">"Q" &amp; ROUNDUP(MONTH(A4)/3, 0)</f>
        <v>Q2</v>
      </c>
    </row>
    <row r="5" spans="1:14" x14ac:dyDescent="0.2">
      <c r="A5" s="98">
        <v>45828.470335648148</v>
      </c>
      <c r="B5" t="s">
        <v>1</v>
      </c>
      <c r="C5" t="s">
        <v>279</v>
      </c>
      <c r="D5">
        <v>18</v>
      </c>
      <c r="I5" t="s">
        <v>0</v>
      </c>
      <c r="J5" s="101">
        <f>INT(LogTable[[#This Row],[Date &amp; Time]])</f>
        <v>45828</v>
      </c>
      <c r="K5" t="str">
        <f>TEXT(LogTable[[#This Row],[Date &amp; Time]], "mmm")</f>
        <v>Jun</v>
      </c>
      <c r="L5">
        <f t="shared" si="0"/>
        <v>25</v>
      </c>
      <c r="M5">
        <f t="shared" si="1"/>
        <v>2025</v>
      </c>
      <c r="N5" t="str">
        <f t="shared" si="2"/>
        <v>Q2</v>
      </c>
    </row>
    <row r="6" spans="1:14" x14ac:dyDescent="0.2">
      <c r="A6" s="98">
        <v>45828.470567129632</v>
      </c>
      <c r="B6" t="s">
        <v>3</v>
      </c>
      <c r="C6" t="s">
        <v>279</v>
      </c>
      <c r="I6" t="s">
        <v>0</v>
      </c>
      <c r="J6" s="101">
        <f>INT(LogTable[[#This Row],[Date &amp; Time]])</f>
        <v>45828</v>
      </c>
      <c r="K6" t="str">
        <f>TEXT(LogTable[[#This Row],[Date &amp; Time]], "mmm")</f>
        <v>Jun</v>
      </c>
      <c r="L6">
        <f t="shared" si="0"/>
        <v>25</v>
      </c>
      <c r="M6">
        <f t="shared" si="1"/>
        <v>2025</v>
      </c>
      <c r="N6" t="str">
        <f t="shared" si="2"/>
        <v>Q2</v>
      </c>
    </row>
    <row r="7" spans="1:14" x14ac:dyDescent="0.2">
      <c r="A7" s="98">
        <v>45828.470682870371</v>
      </c>
      <c r="B7" t="s">
        <v>71</v>
      </c>
      <c r="C7" t="s">
        <v>279</v>
      </c>
      <c r="D7" t="s">
        <v>217</v>
      </c>
      <c r="E7" t="s">
        <v>217</v>
      </c>
      <c r="I7" t="s">
        <v>0</v>
      </c>
      <c r="J7" s="101">
        <f>INT(LogTable[[#This Row],[Date &amp; Time]])</f>
        <v>45828</v>
      </c>
      <c r="K7" t="str">
        <f>TEXT(LogTable[[#This Row],[Date &amp; Time]], "mmm")</f>
        <v>Jun</v>
      </c>
      <c r="L7">
        <f t="shared" si="0"/>
        <v>25</v>
      </c>
      <c r="M7">
        <f t="shared" si="1"/>
        <v>2025</v>
      </c>
      <c r="N7" t="str">
        <f t="shared" si="2"/>
        <v>Q2</v>
      </c>
    </row>
    <row r="8" spans="1:14" x14ac:dyDescent="0.2">
      <c r="A8" s="98">
        <v>45828.470752314817</v>
      </c>
      <c r="B8" t="s">
        <v>225</v>
      </c>
      <c r="C8" t="s">
        <v>279</v>
      </c>
      <c r="D8" t="s">
        <v>222</v>
      </c>
      <c r="E8" t="s">
        <v>221</v>
      </c>
      <c r="F8" t="s">
        <v>223</v>
      </c>
      <c r="G8" t="s">
        <v>220</v>
      </c>
      <c r="H8" t="s">
        <v>222</v>
      </c>
      <c r="I8" t="s">
        <v>0</v>
      </c>
      <c r="J8" s="101">
        <f>INT(LogTable[[#This Row],[Date &amp; Time]])</f>
        <v>45828</v>
      </c>
      <c r="K8" t="str">
        <f>TEXT(LogTable[[#This Row],[Date &amp; Time]], "mmm")</f>
        <v>Jun</v>
      </c>
      <c r="L8">
        <f t="shared" si="0"/>
        <v>25</v>
      </c>
      <c r="M8">
        <f t="shared" si="1"/>
        <v>2025</v>
      </c>
      <c r="N8" t="str">
        <f t="shared" si="2"/>
        <v>Q2</v>
      </c>
    </row>
    <row r="9" spans="1:14" x14ac:dyDescent="0.2">
      <c r="A9" s="98">
        <v>45828.47084490741</v>
      </c>
      <c r="B9" t="s">
        <v>202</v>
      </c>
      <c r="C9" t="s">
        <v>279</v>
      </c>
      <c r="D9" t="s">
        <v>217</v>
      </c>
      <c r="E9" t="s">
        <v>217</v>
      </c>
      <c r="F9" t="s">
        <v>217</v>
      </c>
      <c r="G9" t="s">
        <v>217</v>
      </c>
      <c r="H9" t="s">
        <v>217</v>
      </c>
      <c r="I9" t="s">
        <v>0</v>
      </c>
      <c r="J9" s="101">
        <f>INT(LogTable[[#This Row],[Date &amp; Time]])</f>
        <v>45828</v>
      </c>
      <c r="K9" t="str">
        <f>TEXT(LogTable[[#This Row],[Date &amp; Time]], "mmm")</f>
        <v>Jun</v>
      </c>
      <c r="L9">
        <f t="shared" si="0"/>
        <v>25</v>
      </c>
      <c r="M9">
        <f t="shared" si="1"/>
        <v>2025</v>
      </c>
      <c r="N9" t="str">
        <f t="shared" si="2"/>
        <v>Q2</v>
      </c>
    </row>
    <row r="10" spans="1:14" x14ac:dyDescent="0.2">
      <c r="A10" s="98">
        <v>45828.471030092594</v>
      </c>
      <c r="B10" t="s">
        <v>4</v>
      </c>
      <c r="C10" t="s">
        <v>279</v>
      </c>
      <c r="D10" t="s">
        <v>10</v>
      </c>
      <c r="E10" t="s">
        <v>10</v>
      </c>
      <c r="I10" t="s">
        <v>0</v>
      </c>
      <c r="J10" s="101">
        <f>INT(LogTable[[#This Row],[Date &amp; Time]])</f>
        <v>45828</v>
      </c>
      <c r="K10" t="str">
        <f>TEXT(LogTable[[#This Row],[Date &amp; Time]], "mmm")</f>
        <v>Jun</v>
      </c>
      <c r="L10">
        <f t="shared" si="0"/>
        <v>25</v>
      </c>
      <c r="M10">
        <f t="shared" si="1"/>
        <v>2025</v>
      </c>
      <c r="N10" t="str">
        <f t="shared" si="2"/>
        <v>Q2</v>
      </c>
    </row>
    <row r="11" spans="1:14" x14ac:dyDescent="0.2">
      <c r="A11" s="98">
        <v>45869.647870370369</v>
      </c>
      <c r="B11" t="s">
        <v>23</v>
      </c>
      <c r="I11" t="s">
        <v>0</v>
      </c>
      <c r="J11" s="101">
        <f>INT(LogTable[[#This Row],[Date &amp; Time]])</f>
        <v>45869</v>
      </c>
      <c r="K11" t="str">
        <f>TEXT(LogTable[[#This Row],[Date &amp; Time]], "mmm")</f>
        <v>Jul</v>
      </c>
      <c r="L11">
        <f t="shared" ref="L11:L42" si="3">WEEKNUM(A11, 2)</f>
        <v>31</v>
      </c>
      <c r="M11">
        <f t="shared" ref="M11:M42" si="4">YEAR(A11)</f>
        <v>2025</v>
      </c>
      <c r="N11" t="str">
        <f t="shared" ref="N11:N42" si="5">"Q" &amp; ROUNDUP(MONTH(A11)/3, 0)</f>
        <v>Q3</v>
      </c>
    </row>
    <row r="12" spans="1:14" x14ac:dyDescent="0.2">
      <c r="A12" s="98">
        <v>45869.647870370369</v>
      </c>
      <c r="B12" t="s">
        <v>71</v>
      </c>
      <c r="I12" t="s">
        <v>0</v>
      </c>
      <c r="J12" s="101">
        <f>INT(LogTable[[#This Row],[Date &amp; Time]])</f>
        <v>45869</v>
      </c>
      <c r="K12" t="str">
        <f>TEXT(LogTable[[#This Row],[Date &amp; Time]], "mmm")</f>
        <v>Jul</v>
      </c>
      <c r="L12">
        <f t="shared" si="3"/>
        <v>31</v>
      </c>
      <c r="M12">
        <f t="shared" si="4"/>
        <v>2025</v>
      </c>
      <c r="N12" t="str">
        <f t="shared" si="5"/>
        <v>Q3</v>
      </c>
    </row>
    <row r="13" spans="1:14" x14ac:dyDescent="0.2">
      <c r="A13" s="98">
        <v>45869.647870370369</v>
      </c>
      <c r="B13" t="s">
        <v>3</v>
      </c>
      <c r="I13" t="s">
        <v>0</v>
      </c>
      <c r="J13" s="101">
        <f>INT(LogTable[[#This Row],[Date &amp; Time]])</f>
        <v>45869</v>
      </c>
      <c r="K13" t="str">
        <f>TEXT(LogTable[[#This Row],[Date &amp; Time]], "mmm")</f>
        <v>Jul</v>
      </c>
      <c r="L13">
        <f t="shared" si="3"/>
        <v>31</v>
      </c>
      <c r="M13">
        <f t="shared" si="4"/>
        <v>2025</v>
      </c>
      <c r="N13" t="str">
        <f t="shared" si="5"/>
        <v>Q3</v>
      </c>
    </row>
    <row r="14" spans="1:14" x14ac:dyDescent="0.2">
      <c r="A14" s="98">
        <v>45869.647881944446</v>
      </c>
      <c r="B14" t="s">
        <v>2</v>
      </c>
      <c r="I14" t="s">
        <v>0</v>
      </c>
      <c r="J14" s="101">
        <f>INT(LogTable[[#This Row],[Date &amp; Time]])</f>
        <v>45869</v>
      </c>
      <c r="K14" t="str">
        <f>TEXT(LogTable[[#This Row],[Date &amp; Time]], "mmm")</f>
        <v>Jul</v>
      </c>
      <c r="L14">
        <f t="shared" si="3"/>
        <v>31</v>
      </c>
      <c r="M14">
        <f t="shared" si="4"/>
        <v>2025</v>
      </c>
      <c r="N14" t="str">
        <f t="shared" si="5"/>
        <v>Q3</v>
      </c>
    </row>
    <row r="15" spans="1:14" x14ac:dyDescent="0.2">
      <c r="A15" s="98">
        <v>45869.647881944446</v>
      </c>
      <c r="B15" t="s">
        <v>1</v>
      </c>
      <c r="I15" t="s">
        <v>0</v>
      </c>
      <c r="J15" s="101">
        <f>INT(LogTable[[#This Row],[Date &amp; Time]])</f>
        <v>45869</v>
      </c>
      <c r="K15" t="str">
        <f>TEXT(LogTable[[#This Row],[Date &amp; Time]], "mmm")</f>
        <v>Jul</v>
      </c>
      <c r="L15">
        <f t="shared" si="3"/>
        <v>31</v>
      </c>
      <c r="M15">
        <f t="shared" si="4"/>
        <v>2025</v>
      </c>
      <c r="N15" t="str">
        <f t="shared" si="5"/>
        <v>Q3</v>
      </c>
    </row>
    <row r="16" spans="1:14" x14ac:dyDescent="0.2">
      <c r="A16" s="98">
        <v>45869.647893518515</v>
      </c>
      <c r="B16" t="s">
        <v>200</v>
      </c>
      <c r="I16" t="s">
        <v>0</v>
      </c>
      <c r="J16" s="101">
        <f>INT(LogTable[[#This Row],[Date &amp; Time]])</f>
        <v>45869</v>
      </c>
      <c r="K16" t="str">
        <f>TEXT(LogTable[[#This Row],[Date &amp; Time]], "mmm")</f>
        <v>Jul</v>
      </c>
      <c r="L16">
        <f t="shared" si="3"/>
        <v>31</v>
      </c>
      <c r="M16">
        <f t="shared" si="4"/>
        <v>2025</v>
      </c>
      <c r="N16" t="str">
        <f t="shared" si="5"/>
        <v>Q3</v>
      </c>
    </row>
    <row r="17" spans="1:14" x14ac:dyDescent="0.2">
      <c r="A17" s="98">
        <v>45869.647905092592</v>
      </c>
      <c r="B17" t="s">
        <v>225</v>
      </c>
      <c r="I17" t="s">
        <v>0</v>
      </c>
      <c r="J17" s="101">
        <f>INT(LogTable[[#This Row],[Date &amp; Time]])</f>
        <v>45869</v>
      </c>
      <c r="K17" t="str">
        <f>TEXT(LogTable[[#This Row],[Date &amp; Time]], "mmm")</f>
        <v>Jul</v>
      </c>
      <c r="L17">
        <f t="shared" si="3"/>
        <v>31</v>
      </c>
      <c r="M17">
        <f t="shared" si="4"/>
        <v>2025</v>
      </c>
      <c r="N17" t="str">
        <f t="shared" si="5"/>
        <v>Q3</v>
      </c>
    </row>
    <row r="18" spans="1:14" x14ac:dyDescent="0.2">
      <c r="A18" s="98">
        <v>45869.647905092592</v>
      </c>
      <c r="B18" t="s">
        <v>202</v>
      </c>
      <c r="I18" t="s">
        <v>0</v>
      </c>
      <c r="J18" s="101">
        <f>INT(LogTable[[#This Row],[Date &amp; Time]])</f>
        <v>45869</v>
      </c>
      <c r="K18" t="str">
        <f>TEXT(LogTable[[#This Row],[Date &amp; Time]], "mmm")</f>
        <v>Jul</v>
      </c>
      <c r="L18">
        <f t="shared" si="3"/>
        <v>31</v>
      </c>
      <c r="M18">
        <f t="shared" si="4"/>
        <v>2025</v>
      </c>
      <c r="N18" t="str">
        <f t="shared" si="5"/>
        <v>Q3</v>
      </c>
    </row>
    <row r="19" spans="1:14" x14ac:dyDescent="0.2">
      <c r="A19" s="98">
        <v>45869.647916666669</v>
      </c>
      <c r="B19" t="s">
        <v>203</v>
      </c>
      <c r="I19" t="s">
        <v>0</v>
      </c>
      <c r="J19" s="101">
        <f>INT(LogTable[[#This Row],[Date &amp; Time]])</f>
        <v>45869</v>
      </c>
      <c r="K19" t="str">
        <f>TEXT(LogTable[[#This Row],[Date &amp; Time]], "mmm")</f>
        <v>Jul</v>
      </c>
      <c r="L19">
        <f t="shared" si="3"/>
        <v>31</v>
      </c>
      <c r="M19">
        <f t="shared" si="4"/>
        <v>2025</v>
      </c>
      <c r="N19" t="str">
        <f t="shared" si="5"/>
        <v>Q3</v>
      </c>
    </row>
    <row r="20" spans="1:14" x14ac:dyDescent="0.2">
      <c r="A20" s="98">
        <v>45869.647916666669</v>
      </c>
      <c r="B20" t="s">
        <v>204</v>
      </c>
      <c r="I20" t="s">
        <v>0</v>
      </c>
      <c r="J20" s="101">
        <f>INT(LogTable[[#This Row],[Date &amp; Time]])</f>
        <v>45869</v>
      </c>
      <c r="K20" t="str">
        <f>TEXT(LogTable[[#This Row],[Date &amp; Time]], "mmm")</f>
        <v>Jul</v>
      </c>
      <c r="L20">
        <f t="shared" si="3"/>
        <v>31</v>
      </c>
      <c r="M20">
        <f t="shared" si="4"/>
        <v>2025</v>
      </c>
      <c r="N20" t="str">
        <f t="shared" si="5"/>
        <v>Q3</v>
      </c>
    </row>
    <row r="21" spans="1:14" x14ac:dyDescent="0.2">
      <c r="A21" s="98">
        <v>45869.647928240738</v>
      </c>
      <c r="B21" t="s">
        <v>206</v>
      </c>
      <c r="I21" t="s">
        <v>0</v>
      </c>
      <c r="J21" s="101">
        <f>INT(LogTable[[#This Row],[Date &amp; Time]])</f>
        <v>45869</v>
      </c>
      <c r="K21" t="str">
        <f>TEXT(LogTable[[#This Row],[Date &amp; Time]], "mmm")</f>
        <v>Jul</v>
      </c>
      <c r="L21">
        <f t="shared" si="3"/>
        <v>31</v>
      </c>
      <c r="M21">
        <f t="shared" si="4"/>
        <v>2025</v>
      </c>
      <c r="N21" t="str">
        <f t="shared" si="5"/>
        <v>Q3</v>
      </c>
    </row>
    <row r="22" spans="1:14" x14ac:dyDescent="0.2">
      <c r="A22" s="98">
        <v>45869.647939814815</v>
      </c>
      <c r="B22" t="s">
        <v>5</v>
      </c>
      <c r="I22" t="s">
        <v>0</v>
      </c>
      <c r="J22" s="101">
        <f>INT(LogTable[[#This Row],[Date &amp; Time]])</f>
        <v>45869</v>
      </c>
      <c r="K22" t="str">
        <f>TEXT(LogTable[[#This Row],[Date &amp; Time]], "mmm")</f>
        <v>Jul</v>
      </c>
      <c r="L22">
        <f t="shared" si="3"/>
        <v>31</v>
      </c>
      <c r="M22">
        <f t="shared" si="4"/>
        <v>2025</v>
      </c>
      <c r="N22" t="str">
        <f t="shared" si="5"/>
        <v>Q3</v>
      </c>
    </row>
    <row r="23" spans="1:14" x14ac:dyDescent="0.2">
      <c r="A23" s="98">
        <v>45869.647939814815</v>
      </c>
      <c r="B23" t="s">
        <v>6</v>
      </c>
      <c r="I23" t="s">
        <v>0</v>
      </c>
      <c r="J23" s="101">
        <f>INT(LogTable[[#This Row],[Date &amp; Time]])</f>
        <v>45869</v>
      </c>
      <c r="K23" t="str">
        <f>TEXT(LogTable[[#This Row],[Date &amp; Time]], "mmm")</f>
        <v>Jul</v>
      </c>
      <c r="L23">
        <f t="shared" si="3"/>
        <v>31</v>
      </c>
      <c r="M23">
        <f t="shared" si="4"/>
        <v>2025</v>
      </c>
      <c r="N23" t="str">
        <f t="shared" si="5"/>
        <v>Q3</v>
      </c>
    </row>
    <row r="24" spans="1:14" x14ac:dyDescent="0.2">
      <c r="A24" s="98">
        <v>45869.647939814815</v>
      </c>
      <c r="B24" t="s">
        <v>7</v>
      </c>
      <c r="I24" t="s">
        <v>0</v>
      </c>
      <c r="J24" s="101">
        <f>INT(LogTable[[#This Row],[Date &amp; Time]])</f>
        <v>45869</v>
      </c>
      <c r="K24" t="str">
        <f>TEXT(LogTable[[#This Row],[Date &amp; Time]], "mmm")</f>
        <v>Jul</v>
      </c>
      <c r="L24">
        <f t="shared" si="3"/>
        <v>31</v>
      </c>
      <c r="M24">
        <f t="shared" si="4"/>
        <v>2025</v>
      </c>
      <c r="N24" t="str">
        <f t="shared" si="5"/>
        <v>Q3</v>
      </c>
    </row>
    <row r="25" spans="1:14" x14ac:dyDescent="0.2">
      <c r="A25" s="98">
        <v>45869.647951388892</v>
      </c>
      <c r="B25" t="s">
        <v>8</v>
      </c>
      <c r="I25" t="s">
        <v>0</v>
      </c>
      <c r="J25" s="101">
        <f>INT(LogTable[[#This Row],[Date &amp; Time]])</f>
        <v>45869</v>
      </c>
      <c r="K25" t="str">
        <f>TEXT(LogTable[[#This Row],[Date &amp; Time]], "mmm")</f>
        <v>Jul</v>
      </c>
      <c r="L25">
        <f t="shared" si="3"/>
        <v>31</v>
      </c>
      <c r="M25">
        <f t="shared" si="4"/>
        <v>2025</v>
      </c>
      <c r="N25" t="str">
        <f t="shared" si="5"/>
        <v>Q3</v>
      </c>
    </row>
    <row r="26" spans="1:14" x14ac:dyDescent="0.2">
      <c r="A26" s="98">
        <v>45869.647986111115</v>
      </c>
      <c r="B26" t="s">
        <v>37</v>
      </c>
      <c r="I26" t="s">
        <v>17</v>
      </c>
      <c r="J26" s="101">
        <f>INT(LogTable[[#This Row],[Date &amp; Time]])</f>
        <v>45869</v>
      </c>
      <c r="K26" t="str">
        <f>TEXT(LogTable[[#This Row],[Date &amp; Time]], "mmm")</f>
        <v>Jul</v>
      </c>
      <c r="L26">
        <f t="shared" si="3"/>
        <v>31</v>
      </c>
      <c r="M26">
        <f t="shared" si="4"/>
        <v>2025</v>
      </c>
      <c r="N26" t="str">
        <f t="shared" si="5"/>
        <v>Q3</v>
      </c>
    </row>
    <row r="27" spans="1:14" x14ac:dyDescent="0.2">
      <c r="A27" s="98">
        <v>45869.748692129629</v>
      </c>
      <c r="B27" t="s">
        <v>38</v>
      </c>
      <c r="I27" t="s">
        <v>17</v>
      </c>
      <c r="J27" s="101">
        <f>INT(LogTable[[#This Row],[Date &amp; Time]])</f>
        <v>45869</v>
      </c>
      <c r="K27" t="str">
        <f>TEXT(LogTable[[#This Row],[Date &amp; Time]], "mmm")</f>
        <v>Jul</v>
      </c>
      <c r="L27">
        <f t="shared" si="3"/>
        <v>31</v>
      </c>
      <c r="M27">
        <f t="shared" si="4"/>
        <v>2025</v>
      </c>
      <c r="N27" t="str">
        <f t="shared" si="5"/>
        <v>Q3</v>
      </c>
    </row>
    <row r="28" spans="1:14" x14ac:dyDescent="0.2">
      <c r="A28" s="98">
        <v>45869.748703703706</v>
      </c>
      <c r="B28" t="s">
        <v>35</v>
      </c>
      <c r="I28" t="s">
        <v>17</v>
      </c>
      <c r="J28" s="101">
        <f>INT(LogTable[[#This Row],[Date &amp; Time]])</f>
        <v>45869</v>
      </c>
      <c r="K28" t="str">
        <f>TEXT(LogTable[[#This Row],[Date &amp; Time]], "mmm")</f>
        <v>Jul</v>
      </c>
      <c r="L28">
        <f t="shared" si="3"/>
        <v>31</v>
      </c>
      <c r="M28">
        <f t="shared" si="4"/>
        <v>2025</v>
      </c>
      <c r="N28" t="str">
        <f t="shared" si="5"/>
        <v>Q3</v>
      </c>
    </row>
    <row r="29" spans="1:14" x14ac:dyDescent="0.2">
      <c r="A29" s="98">
        <v>45869.748715277776</v>
      </c>
      <c r="B29" t="s">
        <v>36</v>
      </c>
      <c r="I29" t="s">
        <v>17</v>
      </c>
      <c r="J29" s="101">
        <f>INT(LogTable[[#This Row],[Date &amp; Time]])</f>
        <v>45869</v>
      </c>
      <c r="K29" t="str">
        <f>TEXT(LogTable[[#This Row],[Date &amp; Time]], "mmm")</f>
        <v>Jul</v>
      </c>
      <c r="L29">
        <f t="shared" si="3"/>
        <v>31</v>
      </c>
      <c r="M29">
        <f t="shared" si="4"/>
        <v>2025</v>
      </c>
      <c r="N29" t="str">
        <f t="shared" si="5"/>
        <v>Q3</v>
      </c>
    </row>
    <row r="30" spans="1:14" x14ac:dyDescent="0.2">
      <c r="A30" s="98">
        <v>45869.748726851853</v>
      </c>
      <c r="B30" t="s">
        <v>39</v>
      </c>
      <c r="I30" t="s">
        <v>17</v>
      </c>
      <c r="J30" s="101">
        <f>INT(LogTable[[#This Row],[Date &amp; Time]])</f>
        <v>45869</v>
      </c>
      <c r="K30" t="str">
        <f>TEXT(LogTable[[#This Row],[Date &amp; Time]], "mmm")</f>
        <v>Jul</v>
      </c>
      <c r="L30">
        <f t="shared" si="3"/>
        <v>31</v>
      </c>
      <c r="M30">
        <f t="shared" si="4"/>
        <v>2025</v>
      </c>
      <c r="N30" t="str">
        <f t="shared" si="5"/>
        <v>Q3</v>
      </c>
    </row>
    <row r="31" spans="1:14" x14ac:dyDescent="0.2">
      <c r="A31" s="98">
        <v>45869.748738425929</v>
      </c>
      <c r="B31" t="s">
        <v>45</v>
      </c>
      <c r="I31" t="s">
        <v>17</v>
      </c>
      <c r="J31" s="101">
        <f>INT(LogTable[[#This Row],[Date &amp; Time]])</f>
        <v>45869</v>
      </c>
      <c r="K31" t="str">
        <f>TEXT(LogTable[[#This Row],[Date &amp; Time]], "mmm")</f>
        <v>Jul</v>
      </c>
      <c r="L31">
        <f t="shared" si="3"/>
        <v>31</v>
      </c>
      <c r="M31">
        <f t="shared" si="4"/>
        <v>2025</v>
      </c>
      <c r="N31" t="str">
        <f t="shared" si="5"/>
        <v>Q3</v>
      </c>
    </row>
    <row r="32" spans="1:14" x14ac:dyDescent="0.2">
      <c r="A32" s="98">
        <v>45869.748761574076</v>
      </c>
      <c r="B32" t="s">
        <v>73</v>
      </c>
      <c r="I32" t="s">
        <v>17</v>
      </c>
      <c r="J32" s="101">
        <f>INT(LogTable[[#This Row],[Date &amp; Time]])</f>
        <v>45869</v>
      </c>
      <c r="K32" t="str">
        <f>TEXT(LogTable[[#This Row],[Date &amp; Time]], "mmm")</f>
        <v>Jul</v>
      </c>
      <c r="L32">
        <f t="shared" si="3"/>
        <v>31</v>
      </c>
      <c r="M32">
        <f t="shared" si="4"/>
        <v>2025</v>
      </c>
      <c r="N32" t="str">
        <f t="shared" si="5"/>
        <v>Q3</v>
      </c>
    </row>
    <row r="33" spans="1:14" x14ac:dyDescent="0.2">
      <c r="A33" s="98">
        <v>45869.748773148145</v>
      </c>
      <c r="B33" t="s">
        <v>32</v>
      </c>
      <c r="I33" t="s">
        <v>17</v>
      </c>
      <c r="J33" s="101">
        <f>INT(LogTable[[#This Row],[Date &amp; Time]])</f>
        <v>45869</v>
      </c>
      <c r="K33" t="str">
        <f>TEXT(LogTable[[#This Row],[Date &amp; Time]], "mmm")</f>
        <v>Jul</v>
      </c>
      <c r="L33">
        <f t="shared" si="3"/>
        <v>31</v>
      </c>
      <c r="M33">
        <f t="shared" si="4"/>
        <v>2025</v>
      </c>
      <c r="N33" t="str">
        <f t="shared" si="5"/>
        <v>Q3</v>
      </c>
    </row>
    <row r="34" spans="1:14" x14ac:dyDescent="0.2">
      <c r="A34" s="98">
        <v>45869.748784722222</v>
      </c>
      <c r="B34" t="s">
        <v>29</v>
      </c>
      <c r="I34" t="s">
        <v>17</v>
      </c>
      <c r="J34" s="101">
        <f>INT(LogTable[[#This Row],[Date &amp; Time]])</f>
        <v>45869</v>
      </c>
      <c r="K34" t="str">
        <f>TEXT(LogTable[[#This Row],[Date &amp; Time]], "mmm")</f>
        <v>Jul</v>
      </c>
      <c r="L34">
        <f t="shared" si="3"/>
        <v>31</v>
      </c>
      <c r="M34">
        <f t="shared" si="4"/>
        <v>2025</v>
      </c>
      <c r="N34" t="str">
        <f t="shared" si="5"/>
        <v>Q3</v>
      </c>
    </row>
    <row r="35" spans="1:14" x14ac:dyDescent="0.2">
      <c r="A35" s="98">
        <v>45869.748796296299</v>
      </c>
      <c r="B35" t="s">
        <v>26</v>
      </c>
      <c r="I35" t="s">
        <v>17</v>
      </c>
      <c r="J35" s="101">
        <f>INT(LogTable[[#This Row],[Date &amp; Time]])</f>
        <v>45869</v>
      </c>
      <c r="K35" t="str">
        <f>TEXT(LogTable[[#This Row],[Date &amp; Time]], "mmm")</f>
        <v>Jul</v>
      </c>
      <c r="L35">
        <f t="shared" si="3"/>
        <v>31</v>
      </c>
      <c r="M35">
        <f t="shared" si="4"/>
        <v>2025</v>
      </c>
      <c r="N35" t="str">
        <f t="shared" si="5"/>
        <v>Q3</v>
      </c>
    </row>
    <row r="36" spans="1:14" x14ac:dyDescent="0.2">
      <c r="A36" s="98">
        <v>45869.748819444445</v>
      </c>
      <c r="B36" t="s">
        <v>27</v>
      </c>
      <c r="I36" t="s">
        <v>17</v>
      </c>
      <c r="J36" s="101">
        <f>INT(LogTable[[#This Row],[Date &amp; Time]])</f>
        <v>45869</v>
      </c>
      <c r="K36" t="str">
        <f>TEXT(LogTable[[#This Row],[Date &amp; Time]], "mmm")</f>
        <v>Jul</v>
      </c>
      <c r="L36">
        <f t="shared" si="3"/>
        <v>31</v>
      </c>
      <c r="M36">
        <f t="shared" si="4"/>
        <v>2025</v>
      </c>
      <c r="N36" t="str">
        <f t="shared" si="5"/>
        <v>Q3</v>
      </c>
    </row>
    <row r="37" spans="1:14" x14ac:dyDescent="0.2">
      <c r="A37" s="98">
        <v>45869.748831018522</v>
      </c>
      <c r="B37" t="s">
        <v>210</v>
      </c>
      <c r="I37" t="s">
        <v>17</v>
      </c>
      <c r="J37" s="101">
        <f>INT(LogTable[[#This Row],[Date &amp; Time]])</f>
        <v>45869</v>
      </c>
      <c r="K37" t="str">
        <f>TEXT(LogTable[[#This Row],[Date &amp; Time]], "mmm")</f>
        <v>Jul</v>
      </c>
      <c r="L37">
        <f t="shared" si="3"/>
        <v>31</v>
      </c>
      <c r="M37">
        <f t="shared" si="4"/>
        <v>2025</v>
      </c>
      <c r="N37" t="str">
        <f t="shared" si="5"/>
        <v>Q3</v>
      </c>
    </row>
    <row r="38" spans="1:14" x14ac:dyDescent="0.2">
      <c r="A38" s="98">
        <v>45869.748831018522</v>
      </c>
      <c r="B38" t="s">
        <v>209</v>
      </c>
      <c r="I38" t="s">
        <v>17</v>
      </c>
      <c r="J38" s="101">
        <f>INT(LogTable[[#This Row],[Date &amp; Time]])</f>
        <v>45869</v>
      </c>
      <c r="K38" t="str">
        <f>TEXT(LogTable[[#This Row],[Date &amp; Time]], "mmm")</f>
        <v>Jul</v>
      </c>
      <c r="L38">
        <f t="shared" si="3"/>
        <v>31</v>
      </c>
      <c r="M38">
        <f t="shared" si="4"/>
        <v>2025</v>
      </c>
      <c r="N38" t="str">
        <f t="shared" si="5"/>
        <v>Q3</v>
      </c>
    </row>
    <row r="39" spans="1:14" x14ac:dyDescent="0.2">
      <c r="A39" s="98">
        <v>45869.748842592591</v>
      </c>
      <c r="B39" t="s">
        <v>208</v>
      </c>
      <c r="I39" t="s">
        <v>17</v>
      </c>
      <c r="J39" s="101">
        <f>INT(LogTable[[#This Row],[Date &amp; Time]])</f>
        <v>45869</v>
      </c>
      <c r="K39" t="str">
        <f>TEXT(LogTable[[#This Row],[Date &amp; Time]], "mmm")</f>
        <v>Jul</v>
      </c>
      <c r="L39">
        <f t="shared" si="3"/>
        <v>31</v>
      </c>
      <c r="M39">
        <f t="shared" si="4"/>
        <v>2025</v>
      </c>
      <c r="N39" t="str">
        <f t="shared" si="5"/>
        <v>Q3</v>
      </c>
    </row>
    <row r="40" spans="1:14" x14ac:dyDescent="0.2">
      <c r="A40" s="98">
        <v>45869.748854166668</v>
      </c>
      <c r="B40" t="s">
        <v>207</v>
      </c>
      <c r="I40" t="s">
        <v>17</v>
      </c>
      <c r="J40" s="101">
        <f>INT(LogTable[[#This Row],[Date &amp; Time]])</f>
        <v>45869</v>
      </c>
      <c r="K40" t="str">
        <f>TEXT(LogTable[[#This Row],[Date &amp; Time]], "mmm")</f>
        <v>Jul</v>
      </c>
      <c r="L40">
        <f t="shared" si="3"/>
        <v>31</v>
      </c>
      <c r="M40">
        <f t="shared" si="4"/>
        <v>2025</v>
      </c>
      <c r="N40" t="str">
        <f t="shared" si="5"/>
        <v>Q3</v>
      </c>
    </row>
    <row r="41" spans="1:14" x14ac:dyDescent="0.2">
      <c r="A41" s="98">
        <v>45869.748888888891</v>
      </c>
      <c r="B41" t="s">
        <v>278</v>
      </c>
      <c r="I41" t="s">
        <v>17</v>
      </c>
      <c r="J41" s="101">
        <f>INT(LogTable[[#This Row],[Date &amp; Time]])</f>
        <v>45869</v>
      </c>
      <c r="K41" t="str">
        <f>TEXT(LogTable[[#This Row],[Date &amp; Time]], "mmm")</f>
        <v>Jul</v>
      </c>
      <c r="L41">
        <f t="shared" si="3"/>
        <v>31</v>
      </c>
      <c r="M41">
        <f t="shared" si="4"/>
        <v>2025</v>
      </c>
      <c r="N41" t="str">
        <f t="shared" si="5"/>
        <v>Q3</v>
      </c>
    </row>
    <row r="42" spans="1:14" x14ac:dyDescent="0.2">
      <c r="A42" s="98">
        <v>45869.748900462961</v>
      </c>
      <c r="B42" t="s">
        <v>72</v>
      </c>
      <c r="I42" t="s">
        <v>17</v>
      </c>
      <c r="J42" s="101">
        <f>INT(LogTable[[#This Row],[Date &amp; Time]])</f>
        <v>45869</v>
      </c>
      <c r="K42" t="str">
        <f>TEXT(LogTable[[#This Row],[Date &amp; Time]], "mmm")</f>
        <v>Jul</v>
      </c>
      <c r="L42">
        <f t="shared" si="3"/>
        <v>31</v>
      </c>
      <c r="M42">
        <f t="shared" si="4"/>
        <v>2025</v>
      </c>
      <c r="N42" t="str">
        <f t="shared" si="5"/>
        <v>Q3</v>
      </c>
    </row>
    <row r="43" spans="1:14" x14ac:dyDescent="0.2">
      <c r="A43" s="98">
        <v>45869.748912037037</v>
      </c>
      <c r="B43" t="s">
        <v>25</v>
      </c>
      <c r="I43" t="s">
        <v>17</v>
      </c>
      <c r="J43" s="101">
        <f>INT(LogTable[[#This Row],[Date &amp; Time]])</f>
        <v>45869</v>
      </c>
      <c r="K43" t="str">
        <f>TEXT(LogTable[[#This Row],[Date &amp; Time]], "mmm")</f>
        <v>Jul</v>
      </c>
      <c r="L43">
        <f t="shared" ref="L43:L69" si="6">WEEKNUM(A43, 2)</f>
        <v>31</v>
      </c>
      <c r="M43">
        <f t="shared" ref="M43:M69" si="7">YEAR(A43)</f>
        <v>2025</v>
      </c>
      <c r="N43" t="str">
        <f t="shared" ref="N43:N69" si="8">"Q" &amp; ROUNDUP(MONTH(A43)/3, 0)</f>
        <v>Q3</v>
      </c>
    </row>
    <row r="44" spans="1:14" x14ac:dyDescent="0.2">
      <c r="A44" s="98">
        <v>45869.752083333333</v>
      </c>
      <c r="B44" t="s">
        <v>47</v>
      </c>
      <c r="I44" t="s">
        <v>18</v>
      </c>
      <c r="J44" s="101">
        <f>INT(LogTable[[#This Row],[Date &amp; Time]])</f>
        <v>45869</v>
      </c>
      <c r="K44" t="str">
        <f>TEXT(LogTable[[#This Row],[Date &amp; Time]], "mmm")</f>
        <v>Jul</v>
      </c>
      <c r="L44">
        <f t="shared" si="6"/>
        <v>31</v>
      </c>
      <c r="M44">
        <f t="shared" si="7"/>
        <v>2025</v>
      </c>
      <c r="N44" t="str">
        <f t="shared" si="8"/>
        <v>Q3</v>
      </c>
    </row>
    <row r="45" spans="1:14" x14ac:dyDescent="0.2">
      <c r="A45" s="98">
        <v>45869.75209490741</v>
      </c>
      <c r="B45" t="s">
        <v>48</v>
      </c>
      <c r="I45" t="s">
        <v>18</v>
      </c>
      <c r="J45" s="101">
        <f>INT(LogTable[[#This Row],[Date &amp; Time]])</f>
        <v>45869</v>
      </c>
      <c r="K45" t="str">
        <f>TEXT(LogTable[[#This Row],[Date &amp; Time]], "mmm")</f>
        <v>Jul</v>
      </c>
      <c r="L45">
        <f t="shared" si="6"/>
        <v>31</v>
      </c>
      <c r="M45">
        <f t="shared" si="7"/>
        <v>2025</v>
      </c>
      <c r="N45" t="str">
        <f t="shared" si="8"/>
        <v>Q3</v>
      </c>
    </row>
    <row r="46" spans="1:14" x14ac:dyDescent="0.2">
      <c r="A46" s="98">
        <v>45869.752106481479</v>
      </c>
      <c r="B46" t="s">
        <v>44</v>
      </c>
      <c r="I46" t="s">
        <v>18</v>
      </c>
      <c r="J46" s="101">
        <f>INT(LogTable[[#This Row],[Date &amp; Time]])</f>
        <v>45869</v>
      </c>
      <c r="K46" t="str">
        <f>TEXT(LogTable[[#This Row],[Date &amp; Time]], "mmm")</f>
        <v>Jul</v>
      </c>
      <c r="L46">
        <f t="shared" si="6"/>
        <v>31</v>
      </c>
      <c r="M46">
        <f t="shared" si="7"/>
        <v>2025</v>
      </c>
      <c r="N46" t="str">
        <f t="shared" si="8"/>
        <v>Q3</v>
      </c>
    </row>
    <row r="47" spans="1:14" x14ac:dyDescent="0.2">
      <c r="A47" s="98">
        <v>45869.752233796295</v>
      </c>
      <c r="B47" t="s">
        <v>3</v>
      </c>
      <c r="I47" t="s">
        <v>0</v>
      </c>
      <c r="J47" s="101">
        <f>INT(LogTable[[#This Row],[Date &amp; Time]])</f>
        <v>45869</v>
      </c>
      <c r="K47" t="str">
        <f>TEXT(LogTable[[#This Row],[Date &amp; Time]], "mmm")</f>
        <v>Jul</v>
      </c>
      <c r="L47">
        <f t="shared" si="6"/>
        <v>31</v>
      </c>
      <c r="M47">
        <f t="shared" si="7"/>
        <v>2025</v>
      </c>
      <c r="N47" t="str">
        <f t="shared" si="8"/>
        <v>Q3</v>
      </c>
    </row>
    <row r="48" spans="1:14" x14ac:dyDescent="0.2">
      <c r="A48" s="98">
        <v>45869.752245370371</v>
      </c>
      <c r="B48" t="s">
        <v>2</v>
      </c>
      <c r="I48" t="s">
        <v>0</v>
      </c>
      <c r="J48" s="101">
        <f>INT(LogTable[[#This Row],[Date &amp; Time]])</f>
        <v>45869</v>
      </c>
      <c r="K48" t="str">
        <f>TEXT(LogTable[[#This Row],[Date &amp; Time]], "mmm")</f>
        <v>Jul</v>
      </c>
      <c r="L48">
        <f t="shared" si="6"/>
        <v>31</v>
      </c>
      <c r="M48">
        <f t="shared" si="7"/>
        <v>2025</v>
      </c>
      <c r="N48" t="str">
        <f t="shared" si="8"/>
        <v>Q3</v>
      </c>
    </row>
    <row r="49" spans="1:14" x14ac:dyDescent="0.2">
      <c r="A49" s="98">
        <v>45869.752256944441</v>
      </c>
      <c r="B49" t="s">
        <v>1</v>
      </c>
      <c r="I49" t="s">
        <v>0</v>
      </c>
      <c r="J49" s="101">
        <f>INT(LogTable[[#This Row],[Date &amp; Time]])</f>
        <v>45869</v>
      </c>
      <c r="K49" t="str">
        <f>TEXT(LogTable[[#This Row],[Date &amp; Time]], "mmm")</f>
        <v>Jul</v>
      </c>
      <c r="L49">
        <f t="shared" si="6"/>
        <v>31</v>
      </c>
      <c r="M49">
        <f t="shared" si="7"/>
        <v>2025</v>
      </c>
      <c r="N49" t="str">
        <f t="shared" si="8"/>
        <v>Q3</v>
      </c>
    </row>
    <row r="50" spans="1:14" x14ac:dyDescent="0.2">
      <c r="A50" s="98">
        <v>45870.329467592594</v>
      </c>
      <c r="B50" t="s">
        <v>56</v>
      </c>
      <c r="C50" s="94"/>
      <c r="I50" t="s">
        <v>18</v>
      </c>
      <c r="J50" s="101">
        <f>INT(LogTable[[#This Row],[Date &amp; Time]])</f>
        <v>45870</v>
      </c>
      <c r="K50" t="str">
        <f>TEXT(LogTable[[#This Row],[Date &amp; Time]], "mmm")</f>
        <v>Aug</v>
      </c>
      <c r="L50">
        <f t="shared" si="6"/>
        <v>31</v>
      </c>
      <c r="M50">
        <f t="shared" si="7"/>
        <v>2025</v>
      </c>
      <c r="N50" t="str">
        <f t="shared" si="8"/>
        <v>Q3</v>
      </c>
    </row>
    <row r="51" spans="1:14" x14ac:dyDescent="0.2">
      <c r="A51" s="98">
        <v>45870.535949074074</v>
      </c>
      <c r="B51" t="s">
        <v>71</v>
      </c>
      <c r="C51" s="94"/>
      <c r="I51" t="s">
        <v>0</v>
      </c>
      <c r="J51" s="101">
        <f>INT(LogTable[[#This Row],[Date &amp; Time]])</f>
        <v>45870</v>
      </c>
      <c r="K51" t="str">
        <f>TEXT(LogTable[[#This Row],[Date &amp; Time]], "mmm")</f>
        <v>Aug</v>
      </c>
      <c r="L51">
        <f t="shared" si="6"/>
        <v>31</v>
      </c>
      <c r="M51">
        <f t="shared" si="7"/>
        <v>2025</v>
      </c>
      <c r="N51" t="str">
        <f t="shared" si="8"/>
        <v>Q3</v>
      </c>
    </row>
    <row r="52" spans="1:14" x14ac:dyDescent="0.2">
      <c r="A52" s="98">
        <v>45870.535949074074</v>
      </c>
      <c r="B52" t="s">
        <v>23</v>
      </c>
      <c r="C52" s="94"/>
      <c r="I52" t="s">
        <v>0</v>
      </c>
      <c r="J52" s="101">
        <f>INT(LogTable[[#This Row],[Date &amp; Time]])</f>
        <v>45870</v>
      </c>
      <c r="K52" t="str">
        <f>TEXT(LogTable[[#This Row],[Date &amp; Time]], "mmm")</f>
        <v>Aug</v>
      </c>
      <c r="L52">
        <f t="shared" si="6"/>
        <v>31</v>
      </c>
      <c r="M52">
        <f t="shared" si="7"/>
        <v>2025</v>
      </c>
      <c r="N52" t="str">
        <f t="shared" si="8"/>
        <v>Q3</v>
      </c>
    </row>
    <row r="53" spans="1:14" x14ac:dyDescent="0.2">
      <c r="A53" s="98">
        <v>45870.535960648151</v>
      </c>
      <c r="B53" t="s">
        <v>200</v>
      </c>
      <c r="C53" s="94"/>
      <c r="I53" t="s">
        <v>0</v>
      </c>
      <c r="J53" s="101">
        <f>INT(LogTable[[#This Row],[Date &amp; Time]])</f>
        <v>45870</v>
      </c>
      <c r="K53" t="str">
        <f>TEXT(LogTable[[#This Row],[Date &amp; Time]], "mmm")</f>
        <v>Aug</v>
      </c>
      <c r="L53">
        <f t="shared" si="6"/>
        <v>31</v>
      </c>
      <c r="M53">
        <f t="shared" si="7"/>
        <v>2025</v>
      </c>
      <c r="N53" t="str">
        <f t="shared" si="8"/>
        <v>Q3</v>
      </c>
    </row>
    <row r="54" spans="1:14" x14ac:dyDescent="0.2">
      <c r="A54" s="98">
        <v>45870.53597222222</v>
      </c>
      <c r="B54" t="s">
        <v>225</v>
      </c>
      <c r="C54" s="94"/>
      <c r="I54" t="s">
        <v>0</v>
      </c>
      <c r="J54" s="101">
        <f>INT(LogTable[[#This Row],[Date &amp; Time]])</f>
        <v>45870</v>
      </c>
      <c r="K54" t="str">
        <f>TEXT(LogTable[[#This Row],[Date &amp; Time]], "mmm")</f>
        <v>Aug</v>
      </c>
      <c r="L54">
        <f t="shared" si="6"/>
        <v>31</v>
      </c>
      <c r="M54">
        <f t="shared" si="7"/>
        <v>2025</v>
      </c>
      <c r="N54" t="str">
        <f t="shared" si="8"/>
        <v>Q3</v>
      </c>
    </row>
    <row r="55" spans="1:14" x14ac:dyDescent="0.2">
      <c r="A55" s="98">
        <v>45870.536168981482</v>
      </c>
      <c r="B55" t="s">
        <v>202</v>
      </c>
      <c r="C55" s="94"/>
      <c r="I55" t="s">
        <v>0</v>
      </c>
      <c r="J55" s="101">
        <f>INT(LogTable[[#This Row],[Date &amp; Time]])</f>
        <v>45870</v>
      </c>
      <c r="K55" t="str">
        <f>TEXT(LogTable[[#This Row],[Date &amp; Time]], "mmm")</f>
        <v>Aug</v>
      </c>
      <c r="L55">
        <f t="shared" si="6"/>
        <v>31</v>
      </c>
      <c r="M55">
        <f t="shared" si="7"/>
        <v>2025</v>
      </c>
      <c r="N55" t="str">
        <f t="shared" si="8"/>
        <v>Q3</v>
      </c>
    </row>
    <row r="56" spans="1:14" x14ac:dyDescent="0.2">
      <c r="A56" s="98">
        <v>45870.546770833331</v>
      </c>
      <c r="B56" t="s">
        <v>2</v>
      </c>
      <c r="C56" s="94"/>
      <c r="I56" t="s">
        <v>0</v>
      </c>
      <c r="J56" s="101">
        <f>INT(LogTable[[#This Row],[Date &amp; Time]])</f>
        <v>45870</v>
      </c>
      <c r="K56" t="str">
        <f>TEXT(LogTable[[#This Row],[Date &amp; Time]], "mmm")</f>
        <v>Aug</v>
      </c>
      <c r="L56">
        <f t="shared" si="6"/>
        <v>31</v>
      </c>
      <c r="M56">
        <f t="shared" si="7"/>
        <v>2025</v>
      </c>
      <c r="N56" t="str">
        <f t="shared" si="8"/>
        <v>Q3</v>
      </c>
    </row>
    <row r="57" spans="1:14" x14ac:dyDescent="0.2">
      <c r="A57" s="98">
        <v>45870.546782407408</v>
      </c>
      <c r="B57" t="s">
        <v>1</v>
      </c>
      <c r="C57" s="94"/>
      <c r="I57" t="s">
        <v>0</v>
      </c>
      <c r="J57" s="101">
        <f>INT(LogTable[[#This Row],[Date &amp; Time]])</f>
        <v>45870</v>
      </c>
      <c r="K57" t="str">
        <f>TEXT(LogTable[[#This Row],[Date &amp; Time]], "mmm")</f>
        <v>Aug</v>
      </c>
      <c r="L57">
        <f t="shared" si="6"/>
        <v>31</v>
      </c>
      <c r="M57">
        <f t="shared" si="7"/>
        <v>2025</v>
      </c>
      <c r="N57" t="str">
        <f t="shared" si="8"/>
        <v>Q3</v>
      </c>
    </row>
    <row r="58" spans="1:14" x14ac:dyDescent="0.2">
      <c r="A58" s="98">
        <v>45870.546782407408</v>
      </c>
      <c r="B58" t="s">
        <v>3</v>
      </c>
      <c r="C58" s="94"/>
      <c r="I58" t="s">
        <v>0</v>
      </c>
      <c r="J58" s="101">
        <f>INT(LogTable[[#This Row],[Date &amp; Time]])</f>
        <v>45870</v>
      </c>
      <c r="K58" t="str">
        <f>TEXT(LogTable[[#This Row],[Date &amp; Time]], "mmm")</f>
        <v>Aug</v>
      </c>
      <c r="L58">
        <f t="shared" si="6"/>
        <v>31</v>
      </c>
      <c r="M58">
        <f t="shared" si="7"/>
        <v>2025</v>
      </c>
      <c r="N58" t="str">
        <f t="shared" si="8"/>
        <v>Q3</v>
      </c>
    </row>
    <row r="59" spans="1:14" x14ac:dyDescent="0.2">
      <c r="A59" s="98">
        <v>45870.546793981484</v>
      </c>
      <c r="B59" t="s">
        <v>24</v>
      </c>
      <c r="C59" s="94"/>
      <c r="I59" t="s">
        <v>0</v>
      </c>
      <c r="J59" s="101">
        <f>INT(LogTable[[#This Row],[Date &amp; Time]])</f>
        <v>45870</v>
      </c>
      <c r="K59" t="str">
        <f>TEXT(LogTable[[#This Row],[Date &amp; Time]], "mmm")</f>
        <v>Aug</v>
      </c>
      <c r="L59">
        <f t="shared" si="6"/>
        <v>31</v>
      </c>
      <c r="M59">
        <f t="shared" si="7"/>
        <v>2025</v>
      </c>
      <c r="N59" t="str">
        <f t="shared" si="8"/>
        <v>Q3</v>
      </c>
    </row>
    <row r="60" spans="1:14" x14ac:dyDescent="0.2">
      <c r="A60" s="98">
        <v>45870.546805555554</v>
      </c>
      <c r="B60" t="s">
        <v>201</v>
      </c>
      <c r="C60" s="94"/>
      <c r="I60" t="s">
        <v>0</v>
      </c>
      <c r="J60" s="101">
        <f>INT(LogTable[[#This Row],[Date &amp; Time]])</f>
        <v>45870</v>
      </c>
      <c r="K60" t="str">
        <f>TEXT(LogTable[[#This Row],[Date &amp; Time]], "mmm")</f>
        <v>Aug</v>
      </c>
      <c r="L60">
        <f t="shared" si="6"/>
        <v>31</v>
      </c>
      <c r="M60">
        <f t="shared" si="7"/>
        <v>2025</v>
      </c>
      <c r="N60" t="str">
        <f t="shared" si="8"/>
        <v>Q3</v>
      </c>
    </row>
    <row r="61" spans="1:14" x14ac:dyDescent="0.2">
      <c r="A61" s="98">
        <v>45870.546817129631</v>
      </c>
      <c r="B61" t="s">
        <v>203</v>
      </c>
      <c r="C61" s="94"/>
      <c r="I61" t="s">
        <v>0</v>
      </c>
      <c r="J61" s="101">
        <f>INT(LogTable[[#This Row],[Date &amp; Time]])</f>
        <v>45870</v>
      </c>
      <c r="K61" t="str">
        <f>TEXT(LogTable[[#This Row],[Date &amp; Time]], "mmm")</f>
        <v>Aug</v>
      </c>
      <c r="L61">
        <f t="shared" si="6"/>
        <v>31</v>
      </c>
      <c r="M61">
        <f t="shared" si="7"/>
        <v>2025</v>
      </c>
      <c r="N61" t="str">
        <f t="shared" si="8"/>
        <v>Q3</v>
      </c>
    </row>
    <row r="62" spans="1:14" x14ac:dyDescent="0.2">
      <c r="A62" s="98">
        <v>45870.5468287037</v>
      </c>
      <c r="B62" t="s">
        <v>204</v>
      </c>
      <c r="C62" s="94"/>
      <c r="I62" t="s">
        <v>0</v>
      </c>
      <c r="J62" s="101">
        <f>INT(LogTable[[#This Row],[Date &amp; Time]])</f>
        <v>45870</v>
      </c>
      <c r="K62" t="str">
        <f>TEXT(LogTable[[#This Row],[Date &amp; Time]], "mmm")</f>
        <v>Aug</v>
      </c>
      <c r="L62">
        <f t="shared" si="6"/>
        <v>31</v>
      </c>
      <c r="M62">
        <f t="shared" si="7"/>
        <v>2025</v>
      </c>
      <c r="N62" t="str">
        <f t="shared" si="8"/>
        <v>Q3</v>
      </c>
    </row>
    <row r="63" spans="1:14" x14ac:dyDescent="0.2">
      <c r="A63" s="98">
        <v>45870.546840277777</v>
      </c>
      <c r="B63" t="s">
        <v>205</v>
      </c>
      <c r="C63" s="94"/>
      <c r="I63" t="s">
        <v>0</v>
      </c>
      <c r="J63" s="101">
        <f>INT(LogTable[[#This Row],[Date &amp; Time]])</f>
        <v>45870</v>
      </c>
      <c r="K63" t="str">
        <f>TEXT(LogTable[[#This Row],[Date &amp; Time]], "mmm")</f>
        <v>Aug</v>
      </c>
      <c r="L63">
        <f t="shared" si="6"/>
        <v>31</v>
      </c>
      <c r="M63">
        <f t="shared" si="7"/>
        <v>2025</v>
      </c>
      <c r="N63" t="str">
        <f t="shared" si="8"/>
        <v>Q3</v>
      </c>
    </row>
    <row r="64" spans="1:14" x14ac:dyDescent="0.2">
      <c r="A64" s="98">
        <v>45870.546851851854</v>
      </c>
      <c r="B64" t="s">
        <v>206</v>
      </c>
      <c r="C64" s="94"/>
      <c r="I64" t="s">
        <v>0</v>
      </c>
      <c r="J64" s="101">
        <f>INT(LogTable[[#This Row],[Date &amp; Time]])</f>
        <v>45870</v>
      </c>
      <c r="K64" t="str">
        <f>TEXT(LogTable[[#This Row],[Date &amp; Time]], "mmm")</f>
        <v>Aug</v>
      </c>
      <c r="L64">
        <f t="shared" si="6"/>
        <v>31</v>
      </c>
      <c r="M64">
        <f t="shared" si="7"/>
        <v>2025</v>
      </c>
      <c r="N64" t="str">
        <f t="shared" si="8"/>
        <v>Q3</v>
      </c>
    </row>
    <row r="65" spans="1:14" x14ac:dyDescent="0.2">
      <c r="A65" s="98">
        <v>45870.546851851854</v>
      </c>
      <c r="B65" t="s">
        <v>4</v>
      </c>
      <c r="C65" s="94"/>
      <c r="I65" t="s">
        <v>0</v>
      </c>
      <c r="J65" s="101">
        <f>INT(LogTable[[#This Row],[Date &amp; Time]])</f>
        <v>45870</v>
      </c>
      <c r="K65" t="str">
        <f>TEXT(LogTable[[#This Row],[Date &amp; Time]], "mmm")</f>
        <v>Aug</v>
      </c>
      <c r="L65">
        <f t="shared" si="6"/>
        <v>31</v>
      </c>
      <c r="M65">
        <f t="shared" si="7"/>
        <v>2025</v>
      </c>
      <c r="N65" t="str">
        <f t="shared" si="8"/>
        <v>Q3</v>
      </c>
    </row>
    <row r="66" spans="1:14" x14ac:dyDescent="0.2">
      <c r="A66" s="98">
        <v>45870.546863425923</v>
      </c>
      <c r="B66" t="s">
        <v>5</v>
      </c>
      <c r="C66" s="94"/>
      <c r="I66" t="s">
        <v>0</v>
      </c>
      <c r="J66" s="101">
        <f>INT(LogTable[[#This Row],[Date &amp; Time]])</f>
        <v>45870</v>
      </c>
      <c r="K66" t="str">
        <f>TEXT(LogTable[[#This Row],[Date &amp; Time]], "mmm")</f>
        <v>Aug</v>
      </c>
      <c r="L66">
        <f t="shared" si="6"/>
        <v>31</v>
      </c>
      <c r="M66">
        <f t="shared" si="7"/>
        <v>2025</v>
      </c>
      <c r="N66" t="str">
        <f t="shared" si="8"/>
        <v>Q3</v>
      </c>
    </row>
    <row r="67" spans="1:14" x14ac:dyDescent="0.2">
      <c r="A67" s="98">
        <v>45870.546863425923</v>
      </c>
      <c r="B67" t="s">
        <v>6</v>
      </c>
      <c r="C67" s="94"/>
      <c r="I67" t="s">
        <v>0</v>
      </c>
      <c r="J67" s="101">
        <f>INT(LogTable[[#This Row],[Date &amp; Time]])</f>
        <v>45870</v>
      </c>
      <c r="K67" t="str">
        <f>TEXT(LogTable[[#This Row],[Date &amp; Time]], "mmm")</f>
        <v>Aug</v>
      </c>
      <c r="L67">
        <f t="shared" si="6"/>
        <v>31</v>
      </c>
      <c r="M67">
        <f t="shared" si="7"/>
        <v>2025</v>
      </c>
      <c r="N67" t="str">
        <f t="shared" si="8"/>
        <v>Q3</v>
      </c>
    </row>
    <row r="68" spans="1:14" x14ac:dyDescent="0.2">
      <c r="A68" s="98">
        <v>45870.546875</v>
      </c>
      <c r="B68" t="s">
        <v>7</v>
      </c>
      <c r="C68" s="94"/>
      <c r="I68" t="s">
        <v>0</v>
      </c>
      <c r="J68" s="101">
        <f>INT(LogTable[[#This Row],[Date &amp; Time]])</f>
        <v>45870</v>
      </c>
      <c r="K68" t="str">
        <f>TEXT(LogTable[[#This Row],[Date &amp; Time]], "mmm")</f>
        <v>Aug</v>
      </c>
      <c r="L68">
        <f t="shared" si="6"/>
        <v>31</v>
      </c>
      <c r="M68">
        <f t="shared" si="7"/>
        <v>2025</v>
      </c>
      <c r="N68" t="str">
        <f t="shared" si="8"/>
        <v>Q3</v>
      </c>
    </row>
    <row r="69" spans="1:14" x14ac:dyDescent="0.2">
      <c r="A69" s="98">
        <v>45870.546875</v>
      </c>
      <c r="B69" t="s">
        <v>8</v>
      </c>
      <c r="C69" s="94"/>
      <c r="I69" t="s">
        <v>0</v>
      </c>
      <c r="J69" s="101">
        <f>INT(LogTable[[#This Row],[Date &amp; Time]])</f>
        <v>45870</v>
      </c>
      <c r="K69" t="str">
        <f>TEXT(LogTable[[#This Row],[Date &amp; Time]], "mmm")</f>
        <v>Aug</v>
      </c>
      <c r="L69">
        <f t="shared" si="6"/>
        <v>31</v>
      </c>
      <c r="M69">
        <f t="shared" si="7"/>
        <v>2025</v>
      </c>
      <c r="N69" t="str">
        <f t="shared" si="8"/>
        <v>Q3</v>
      </c>
    </row>
    <row r="70" spans="1:14" x14ac:dyDescent="0.2">
      <c r="A70" s="98">
        <v>45934.692002314812</v>
      </c>
      <c r="B70" t="s">
        <v>2</v>
      </c>
      <c r="C70" s="94"/>
      <c r="I70" t="s">
        <v>0</v>
      </c>
      <c r="J70" s="101">
        <f>INT(LogTable[[#This Row],[Date &amp; Time]])</f>
        <v>45934</v>
      </c>
      <c r="K70" t="str">
        <f>TEXT(LogTable[[#This Row],[Date &amp; Time]], "mmm")</f>
        <v>Oct</v>
      </c>
      <c r="L70">
        <f t="shared" ref="L70:L83" si="9">WEEKNUM(A70, 2)</f>
        <v>40</v>
      </c>
      <c r="M70">
        <f t="shared" ref="M70:M83" si="10">YEAR(A70)</f>
        <v>2025</v>
      </c>
      <c r="N70" t="str">
        <f t="shared" ref="N70:N83" si="11">"Q" &amp; ROUNDUP(MONTH(A70)/3, 0)</f>
        <v>Q4</v>
      </c>
    </row>
    <row r="71" spans="1:14" x14ac:dyDescent="0.2">
      <c r="A71" s="98">
        <v>45934.692013888889</v>
      </c>
      <c r="B71" t="s">
        <v>3</v>
      </c>
      <c r="C71" s="94"/>
      <c r="I71" t="s">
        <v>0</v>
      </c>
      <c r="J71" s="101">
        <f>INT(LogTable[[#This Row],[Date &amp; Time]])</f>
        <v>45934</v>
      </c>
      <c r="K71" t="str">
        <f>TEXT(LogTable[[#This Row],[Date &amp; Time]], "mmm")</f>
        <v>Oct</v>
      </c>
      <c r="L71">
        <f t="shared" si="9"/>
        <v>40</v>
      </c>
      <c r="M71">
        <f t="shared" si="10"/>
        <v>2025</v>
      </c>
      <c r="N71" t="str">
        <f t="shared" si="11"/>
        <v>Q4</v>
      </c>
    </row>
    <row r="72" spans="1:14" x14ac:dyDescent="0.2">
      <c r="A72" s="98">
        <v>45934.692013888889</v>
      </c>
      <c r="B72" t="s">
        <v>71</v>
      </c>
      <c r="C72" s="94"/>
      <c r="I72" t="s">
        <v>0</v>
      </c>
      <c r="J72" s="101">
        <f>INT(LogTable[[#This Row],[Date &amp; Time]])</f>
        <v>45934</v>
      </c>
      <c r="K72" t="str">
        <f>TEXT(LogTable[[#This Row],[Date &amp; Time]], "mmm")</f>
        <v>Oct</v>
      </c>
      <c r="L72">
        <f t="shared" si="9"/>
        <v>40</v>
      </c>
      <c r="M72">
        <f t="shared" si="10"/>
        <v>2025</v>
      </c>
      <c r="N72" t="str">
        <f t="shared" si="11"/>
        <v>Q4</v>
      </c>
    </row>
    <row r="73" spans="1:14" x14ac:dyDescent="0.2">
      <c r="A73" s="98">
        <v>45934.692025462966</v>
      </c>
      <c r="B73" t="s">
        <v>23</v>
      </c>
      <c r="I73" t="s">
        <v>0</v>
      </c>
      <c r="J73" s="101">
        <f>INT(LogTable[[#This Row],[Date &amp; Time]])</f>
        <v>45934</v>
      </c>
      <c r="K73" t="str">
        <f>TEXT(LogTable[[#This Row],[Date &amp; Time]], "mmm")</f>
        <v>Oct</v>
      </c>
      <c r="L73">
        <f t="shared" si="9"/>
        <v>40</v>
      </c>
      <c r="M73">
        <f t="shared" si="10"/>
        <v>2025</v>
      </c>
      <c r="N73" t="str">
        <f t="shared" si="11"/>
        <v>Q4</v>
      </c>
    </row>
    <row r="74" spans="1:14" x14ac:dyDescent="0.2">
      <c r="A74" s="98">
        <v>45934.692037037035</v>
      </c>
      <c r="B74" t="s">
        <v>200</v>
      </c>
      <c r="I74" t="s">
        <v>0</v>
      </c>
      <c r="J74" s="101">
        <f>INT(LogTable[[#This Row],[Date &amp; Time]])</f>
        <v>45934</v>
      </c>
      <c r="K74" t="str">
        <f>TEXT(LogTable[[#This Row],[Date &amp; Time]], "mmm")</f>
        <v>Oct</v>
      </c>
      <c r="L74">
        <f t="shared" si="9"/>
        <v>40</v>
      </c>
      <c r="M74">
        <f t="shared" si="10"/>
        <v>2025</v>
      </c>
      <c r="N74" t="str">
        <f t="shared" si="11"/>
        <v>Q4</v>
      </c>
    </row>
    <row r="75" spans="1:14" x14ac:dyDescent="0.2">
      <c r="A75" s="98">
        <v>45934.692048611112</v>
      </c>
      <c r="B75" t="s">
        <v>201</v>
      </c>
      <c r="I75" t="s">
        <v>0</v>
      </c>
      <c r="J75" s="101">
        <f>INT(LogTable[[#This Row],[Date &amp; Time]])</f>
        <v>45934</v>
      </c>
      <c r="K75" t="str">
        <f>TEXT(LogTable[[#This Row],[Date &amp; Time]], "mmm")</f>
        <v>Oct</v>
      </c>
      <c r="L75">
        <f t="shared" si="9"/>
        <v>40</v>
      </c>
      <c r="M75">
        <f t="shared" si="10"/>
        <v>2025</v>
      </c>
      <c r="N75" t="str">
        <f t="shared" si="11"/>
        <v>Q4</v>
      </c>
    </row>
    <row r="76" spans="1:14" x14ac:dyDescent="0.2">
      <c r="A76" s="98">
        <v>45934.692060185182</v>
      </c>
      <c r="B76" t="s">
        <v>202</v>
      </c>
      <c r="I76" t="s">
        <v>0</v>
      </c>
      <c r="J76" s="101">
        <f>INT(LogTable[[#This Row],[Date &amp; Time]])</f>
        <v>45934</v>
      </c>
      <c r="K76" t="str">
        <f>TEXT(LogTable[[#This Row],[Date &amp; Time]], "mmm")</f>
        <v>Oct</v>
      </c>
      <c r="L76">
        <f t="shared" si="9"/>
        <v>40</v>
      </c>
      <c r="M76">
        <f t="shared" si="10"/>
        <v>2025</v>
      </c>
      <c r="N76" t="str">
        <f t="shared" si="11"/>
        <v>Q4</v>
      </c>
    </row>
    <row r="77" spans="1:14" x14ac:dyDescent="0.2">
      <c r="A77" s="98">
        <v>45934.692071759258</v>
      </c>
      <c r="B77" t="s">
        <v>204</v>
      </c>
      <c r="I77" t="s">
        <v>0</v>
      </c>
      <c r="J77" s="101">
        <f>INT(LogTable[[#This Row],[Date &amp; Time]])</f>
        <v>45934</v>
      </c>
      <c r="K77" t="str">
        <f>TEXT(LogTable[[#This Row],[Date &amp; Time]], "mmm")</f>
        <v>Oct</v>
      </c>
      <c r="L77">
        <f t="shared" si="9"/>
        <v>40</v>
      </c>
      <c r="M77">
        <f t="shared" si="10"/>
        <v>2025</v>
      </c>
      <c r="N77" t="str">
        <f t="shared" si="11"/>
        <v>Q4</v>
      </c>
    </row>
    <row r="78" spans="1:14" x14ac:dyDescent="0.2">
      <c r="A78" s="98">
        <v>45934.692083333335</v>
      </c>
      <c r="B78" t="s">
        <v>203</v>
      </c>
      <c r="I78" t="s">
        <v>0</v>
      </c>
      <c r="J78" s="101">
        <f>INT(LogTable[[#This Row],[Date &amp; Time]])</f>
        <v>45934</v>
      </c>
      <c r="K78" t="str">
        <f>TEXT(LogTable[[#This Row],[Date &amp; Time]], "mmm")</f>
        <v>Oct</v>
      </c>
      <c r="L78">
        <f t="shared" si="9"/>
        <v>40</v>
      </c>
      <c r="M78">
        <f t="shared" si="10"/>
        <v>2025</v>
      </c>
      <c r="N78" t="str">
        <f t="shared" si="11"/>
        <v>Q4</v>
      </c>
    </row>
    <row r="79" spans="1:14" x14ac:dyDescent="0.2">
      <c r="A79" s="98">
        <v>45934.692094907405</v>
      </c>
      <c r="B79" t="s">
        <v>206</v>
      </c>
      <c r="I79" t="s">
        <v>0</v>
      </c>
      <c r="J79" s="101">
        <f>INT(LogTable[[#This Row],[Date &amp; Time]])</f>
        <v>45934</v>
      </c>
      <c r="K79" t="str">
        <f>TEXT(LogTable[[#This Row],[Date &amp; Time]], "mmm")</f>
        <v>Oct</v>
      </c>
      <c r="L79">
        <f t="shared" si="9"/>
        <v>40</v>
      </c>
      <c r="M79">
        <f t="shared" si="10"/>
        <v>2025</v>
      </c>
      <c r="N79" t="str">
        <f t="shared" si="11"/>
        <v>Q4</v>
      </c>
    </row>
    <row r="80" spans="1:14" x14ac:dyDescent="0.2">
      <c r="A80" s="98">
        <v>45934.692094907405</v>
      </c>
      <c r="B80" t="s">
        <v>4</v>
      </c>
      <c r="I80" t="s">
        <v>0</v>
      </c>
      <c r="J80" s="101">
        <f>INT(LogTable[[#This Row],[Date &amp; Time]])</f>
        <v>45934</v>
      </c>
      <c r="K80" t="str">
        <f>TEXT(LogTable[[#This Row],[Date &amp; Time]], "mmm")</f>
        <v>Oct</v>
      </c>
      <c r="L80">
        <f t="shared" si="9"/>
        <v>40</v>
      </c>
      <c r="M80">
        <f t="shared" si="10"/>
        <v>2025</v>
      </c>
      <c r="N80" t="str">
        <f t="shared" si="11"/>
        <v>Q4</v>
      </c>
    </row>
    <row r="81" spans="1:14" x14ac:dyDescent="0.2">
      <c r="A81" s="98">
        <v>45934.692106481481</v>
      </c>
      <c r="B81" t="s">
        <v>5</v>
      </c>
      <c r="I81" t="s">
        <v>0</v>
      </c>
      <c r="J81" s="101">
        <f>INT(LogTable[[#This Row],[Date &amp; Time]])</f>
        <v>45934</v>
      </c>
      <c r="K81" t="str">
        <f>TEXT(LogTable[[#This Row],[Date &amp; Time]], "mmm")</f>
        <v>Oct</v>
      </c>
      <c r="L81">
        <f t="shared" si="9"/>
        <v>40</v>
      </c>
      <c r="M81">
        <f t="shared" si="10"/>
        <v>2025</v>
      </c>
      <c r="N81" t="str">
        <f t="shared" si="11"/>
        <v>Q4</v>
      </c>
    </row>
    <row r="82" spans="1:14" x14ac:dyDescent="0.2">
      <c r="A82" s="98">
        <v>45934.692118055558</v>
      </c>
      <c r="B82" t="s">
        <v>7</v>
      </c>
      <c r="I82" t="s">
        <v>0</v>
      </c>
      <c r="J82" s="101">
        <f>INT(LogTable[[#This Row],[Date &amp; Time]])</f>
        <v>45934</v>
      </c>
      <c r="K82" t="str">
        <f>TEXT(LogTable[[#This Row],[Date &amp; Time]], "mmm")</f>
        <v>Oct</v>
      </c>
      <c r="L82">
        <f t="shared" si="9"/>
        <v>40</v>
      </c>
      <c r="M82">
        <f t="shared" si="10"/>
        <v>2025</v>
      </c>
      <c r="N82" t="str">
        <f t="shared" si="11"/>
        <v>Q4</v>
      </c>
    </row>
    <row r="83" spans="1:14" x14ac:dyDescent="0.2">
      <c r="A83" s="98">
        <v>45934.692118055558</v>
      </c>
      <c r="B83" t="s">
        <v>8</v>
      </c>
      <c r="I83" t="s">
        <v>0</v>
      </c>
      <c r="J83" s="101">
        <f>INT(LogTable[[#This Row],[Date &amp; Time]])</f>
        <v>45934</v>
      </c>
      <c r="K83" t="str">
        <f>TEXT(LogTable[[#This Row],[Date &amp; Time]], "mmm")</f>
        <v>Oct</v>
      </c>
      <c r="L83">
        <f t="shared" si="9"/>
        <v>40</v>
      </c>
      <c r="M83">
        <f t="shared" si="10"/>
        <v>2025</v>
      </c>
      <c r="N83" t="str">
        <f t="shared" si="11"/>
        <v>Q4</v>
      </c>
    </row>
  </sheetData>
  <phoneticPr fontId="17"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D347-F111-5C44-A385-1ECD04946E4D}">
  <sheetPr codeName="Sheet13"/>
  <dimension ref="A1:E32"/>
  <sheetViews>
    <sheetView topLeftCell="A4" workbookViewId="0">
      <selection activeCell="A27" sqref="A27"/>
    </sheetView>
  </sheetViews>
  <sheetFormatPr baseColWidth="10" defaultColWidth="11.5" defaultRowHeight="15" x14ac:dyDescent="0.2"/>
  <cols>
    <col min="1" max="1" width="10.1640625" style="101" bestFit="1" customWidth="1"/>
    <col min="2" max="2" width="22.1640625" bestFit="1" customWidth="1"/>
    <col min="3" max="3" width="7.1640625" bestFit="1" customWidth="1"/>
    <col min="4" max="4" width="8.6640625" bestFit="1" customWidth="1"/>
    <col min="5" max="5" width="16.83203125" style="42" bestFit="1" customWidth="1"/>
  </cols>
  <sheetData>
    <row r="1" spans="1:5" x14ac:dyDescent="0.2">
      <c r="A1" s="101" t="s">
        <v>317</v>
      </c>
      <c r="B1" t="s">
        <v>319</v>
      </c>
      <c r="C1" t="s">
        <v>297</v>
      </c>
      <c r="D1" t="s">
        <v>321</v>
      </c>
      <c r="E1" s="42" t="s">
        <v>320</v>
      </c>
    </row>
    <row r="2" spans="1:5" x14ac:dyDescent="0.2">
      <c r="A2" s="101">
        <v>45828</v>
      </c>
      <c r="B2">
        <v>7</v>
      </c>
      <c r="C2">
        <v>2025</v>
      </c>
      <c r="D2" t="s">
        <v>315</v>
      </c>
      <c r="E2" s="42">
        <f>IF(Merge[[#This Row],[CompletedDailyChecks]]="",0,Merge[[#This Row],[CompletedDailyChecks]]/36)</f>
        <v>0.19444444444444445</v>
      </c>
    </row>
    <row r="3" spans="1:5" x14ac:dyDescent="0.2">
      <c r="A3" s="101">
        <v>45831</v>
      </c>
      <c r="B3">
        <v>0</v>
      </c>
      <c r="C3">
        <v>2025</v>
      </c>
      <c r="D3" t="s">
        <v>315</v>
      </c>
      <c r="E3" s="42">
        <f>IF(Merge[[#This Row],[CompletedDailyChecks]]="",0,Merge[[#This Row],[CompletedDailyChecks]]/36)</f>
        <v>0</v>
      </c>
    </row>
    <row r="4" spans="1:5" x14ac:dyDescent="0.2">
      <c r="A4" s="101">
        <v>45832</v>
      </c>
      <c r="B4">
        <v>0</v>
      </c>
      <c r="C4">
        <v>2025</v>
      </c>
      <c r="D4" t="s">
        <v>315</v>
      </c>
      <c r="E4" s="42">
        <f>IF(Merge[[#This Row],[CompletedDailyChecks]]="",0,Merge[[#This Row],[CompletedDailyChecks]]/36)</f>
        <v>0</v>
      </c>
    </row>
    <row r="5" spans="1:5" x14ac:dyDescent="0.2">
      <c r="A5" s="101">
        <v>45833</v>
      </c>
      <c r="B5">
        <v>0</v>
      </c>
      <c r="C5">
        <v>2025</v>
      </c>
      <c r="D5" t="s">
        <v>315</v>
      </c>
      <c r="E5" s="42">
        <f>IF(Merge[[#This Row],[CompletedDailyChecks]]="",0,Merge[[#This Row],[CompletedDailyChecks]]/36)</f>
        <v>0</v>
      </c>
    </row>
    <row r="6" spans="1:5" x14ac:dyDescent="0.2">
      <c r="A6" s="101">
        <v>45834</v>
      </c>
      <c r="B6">
        <v>0</v>
      </c>
      <c r="C6">
        <v>2025</v>
      </c>
      <c r="D6" t="s">
        <v>315</v>
      </c>
      <c r="E6" s="42">
        <f>IF(Merge[[#This Row],[CompletedDailyChecks]]="",0,Merge[[#This Row],[CompletedDailyChecks]]/36)</f>
        <v>0</v>
      </c>
    </row>
    <row r="7" spans="1:5" x14ac:dyDescent="0.2">
      <c r="A7" s="101">
        <v>45835</v>
      </c>
      <c r="B7">
        <v>0</v>
      </c>
      <c r="C7">
        <v>2025</v>
      </c>
      <c r="D7" t="s">
        <v>315</v>
      </c>
      <c r="E7" s="42">
        <f>IF(Merge[[#This Row],[CompletedDailyChecks]]="",0,Merge[[#This Row],[CompletedDailyChecks]]/36)</f>
        <v>0</v>
      </c>
    </row>
    <row r="8" spans="1:5" x14ac:dyDescent="0.2">
      <c r="A8" s="101">
        <v>45838</v>
      </c>
      <c r="B8">
        <v>0</v>
      </c>
      <c r="C8">
        <v>2025</v>
      </c>
      <c r="D8" t="s">
        <v>315</v>
      </c>
      <c r="E8" s="42">
        <f>IF(Merge[[#This Row],[CompletedDailyChecks]]="",0,Merge[[#This Row],[CompletedDailyChecks]]/36)</f>
        <v>0</v>
      </c>
    </row>
    <row r="9" spans="1:5" x14ac:dyDescent="0.2">
      <c r="A9" s="101">
        <v>45839</v>
      </c>
      <c r="B9">
        <v>0</v>
      </c>
      <c r="C9">
        <v>2025</v>
      </c>
      <c r="D9" t="s">
        <v>316</v>
      </c>
      <c r="E9" s="42">
        <f>IF(Merge[[#This Row],[CompletedDailyChecks]]="",0,Merge[[#This Row],[CompletedDailyChecks]]/36)</f>
        <v>0</v>
      </c>
    </row>
    <row r="10" spans="1:5" x14ac:dyDescent="0.2">
      <c r="A10" s="101">
        <v>45840</v>
      </c>
      <c r="B10">
        <v>0</v>
      </c>
      <c r="C10">
        <v>2025</v>
      </c>
      <c r="D10" t="s">
        <v>316</v>
      </c>
      <c r="E10" s="42">
        <f>IF(Merge[[#This Row],[CompletedDailyChecks]]="",0,Merge[[#This Row],[CompletedDailyChecks]]/36)</f>
        <v>0</v>
      </c>
    </row>
    <row r="11" spans="1:5" x14ac:dyDescent="0.2">
      <c r="A11" s="101">
        <v>45841</v>
      </c>
      <c r="B11">
        <v>0</v>
      </c>
      <c r="C11">
        <v>2025</v>
      </c>
      <c r="D11" t="s">
        <v>316</v>
      </c>
      <c r="E11" s="42">
        <f>IF(Merge[[#This Row],[CompletedDailyChecks]]="",0,Merge[[#This Row],[CompletedDailyChecks]]/36)</f>
        <v>0</v>
      </c>
    </row>
    <row r="12" spans="1:5" x14ac:dyDescent="0.2">
      <c r="A12" s="101">
        <v>45842</v>
      </c>
      <c r="B12">
        <v>0</v>
      </c>
      <c r="C12">
        <v>2025</v>
      </c>
      <c r="D12" t="s">
        <v>316</v>
      </c>
      <c r="E12" s="42">
        <f>IF(Merge[[#This Row],[CompletedDailyChecks]]="",0,Merge[[#This Row],[CompletedDailyChecks]]/36)</f>
        <v>0</v>
      </c>
    </row>
    <row r="13" spans="1:5" x14ac:dyDescent="0.2">
      <c r="A13" s="101">
        <v>45845</v>
      </c>
      <c r="B13">
        <v>0</v>
      </c>
      <c r="C13">
        <v>2025</v>
      </c>
      <c r="D13" t="s">
        <v>316</v>
      </c>
      <c r="E13" s="42">
        <f>IF(Merge[[#This Row],[CompletedDailyChecks]]="",0,Merge[[#This Row],[CompletedDailyChecks]]/36)</f>
        <v>0</v>
      </c>
    </row>
    <row r="14" spans="1:5" x14ac:dyDescent="0.2">
      <c r="A14" s="101">
        <v>45846</v>
      </c>
      <c r="B14">
        <v>0</v>
      </c>
      <c r="C14">
        <v>2025</v>
      </c>
      <c r="D14" t="s">
        <v>316</v>
      </c>
      <c r="E14" s="42">
        <f>IF(Merge[[#This Row],[CompletedDailyChecks]]="",0,Merge[[#This Row],[CompletedDailyChecks]]/36)</f>
        <v>0</v>
      </c>
    </row>
    <row r="15" spans="1:5" x14ac:dyDescent="0.2">
      <c r="A15" s="101">
        <v>45847</v>
      </c>
      <c r="B15">
        <v>0</v>
      </c>
      <c r="C15">
        <v>2025</v>
      </c>
      <c r="D15" t="s">
        <v>316</v>
      </c>
      <c r="E15" s="42">
        <f>IF(Merge[[#This Row],[CompletedDailyChecks]]="",0,Merge[[#This Row],[CompletedDailyChecks]]/36)</f>
        <v>0</v>
      </c>
    </row>
    <row r="16" spans="1:5" x14ac:dyDescent="0.2">
      <c r="A16" s="101">
        <v>45848</v>
      </c>
      <c r="B16">
        <v>0</v>
      </c>
      <c r="C16">
        <v>2025</v>
      </c>
      <c r="D16" t="s">
        <v>316</v>
      </c>
      <c r="E16" s="42">
        <f>IF(Merge[[#This Row],[CompletedDailyChecks]]="",0,Merge[[#This Row],[CompletedDailyChecks]]/36)</f>
        <v>0</v>
      </c>
    </row>
    <row r="17" spans="1:5" x14ac:dyDescent="0.2">
      <c r="A17" s="101">
        <v>45849</v>
      </c>
      <c r="B17">
        <v>0</v>
      </c>
      <c r="C17">
        <v>2025</v>
      </c>
      <c r="D17" t="s">
        <v>316</v>
      </c>
      <c r="E17" s="42">
        <f>IF(Merge[[#This Row],[CompletedDailyChecks]]="",0,Merge[[#This Row],[CompletedDailyChecks]]/36)</f>
        <v>0</v>
      </c>
    </row>
    <row r="18" spans="1:5" x14ac:dyDescent="0.2">
      <c r="A18" s="101">
        <v>45852</v>
      </c>
      <c r="B18">
        <v>0</v>
      </c>
      <c r="C18">
        <v>2025</v>
      </c>
      <c r="D18" t="s">
        <v>316</v>
      </c>
      <c r="E18" s="42">
        <f>IF(Merge[[#This Row],[CompletedDailyChecks]]="",0,Merge[[#This Row],[CompletedDailyChecks]]/36)</f>
        <v>0</v>
      </c>
    </row>
    <row r="19" spans="1:5" x14ac:dyDescent="0.2">
      <c r="A19" s="101">
        <v>45853</v>
      </c>
      <c r="B19">
        <v>0</v>
      </c>
      <c r="C19">
        <v>2025</v>
      </c>
      <c r="D19" t="s">
        <v>316</v>
      </c>
      <c r="E19" s="42">
        <f>IF(Merge[[#This Row],[CompletedDailyChecks]]="",0,Merge[[#This Row],[CompletedDailyChecks]]/36)</f>
        <v>0</v>
      </c>
    </row>
    <row r="20" spans="1:5" x14ac:dyDescent="0.2">
      <c r="A20" s="101">
        <v>45854</v>
      </c>
      <c r="B20">
        <v>0</v>
      </c>
      <c r="C20">
        <v>2025</v>
      </c>
      <c r="D20" t="s">
        <v>316</v>
      </c>
      <c r="E20" s="42">
        <f>IF(Merge[[#This Row],[CompletedDailyChecks]]="",0,Merge[[#This Row],[CompletedDailyChecks]]/36)</f>
        <v>0</v>
      </c>
    </row>
    <row r="21" spans="1:5" x14ac:dyDescent="0.2">
      <c r="A21" s="101">
        <v>45855</v>
      </c>
      <c r="B21">
        <v>0</v>
      </c>
      <c r="C21">
        <v>2025</v>
      </c>
      <c r="D21" t="s">
        <v>316</v>
      </c>
      <c r="E21" s="42">
        <f>IF(Merge[[#This Row],[CompletedDailyChecks]]="",0,Merge[[#This Row],[CompletedDailyChecks]]/36)</f>
        <v>0</v>
      </c>
    </row>
    <row r="22" spans="1:5" x14ac:dyDescent="0.2">
      <c r="A22" s="101">
        <v>45856</v>
      </c>
      <c r="B22">
        <v>0</v>
      </c>
      <c r="C22">
        <v>2025</v>
      </c>
      <c r="D22" t="s">
        <v>316</v>
      </c>
      <c r="E22" s="42">
        <f>IF(Merge[[#This Row],[CompletedDailyChecks]]="",0,Merge[[#This Row],[CompletedDailyChecks]]/36)</f>
        <v>0</v>
      </c>
    </row>
    <row r="23" spans="1:5" x14ac:dyDescent="0.2">
      <c r="A23" s="101">
        <v>45859</v>
      </c>
      <c r="B23">
        <v>0</v>
      </c>
      <c r="C23">
        <v>2025</v>
      </c>
      <c r="D23" t="s">
        <v>316</v>
      </c>
      <c r="E23" s="42">
        <f>IF(Merge[[#This Row],[CompletedDailyChecks]]="",0,Merge[[#This Row],[CompletedDailyChecks]]/36)</f>
        <v>0</v>
      </c>
    </row>
    <row r="24" spans="1:5" x14ac:dyDescent="0.2">
      <c r="A24" s="101">
        <v>45860</v>
      </c>
      <c r="B24">
        <v>0</v>
      </c>
      <c r="C24">
        <v>2025</v>
      </c>
      <c r="D24" t="s">
        <v>316</v>
      </c>
      <c r="E24" s="42">
        <f>IF(Merge[[#This Row],[CompletedDailyChecks]]="",0,Merge[[#This Row],[CompletedDailyChecks]]/36)</f>
        <v>0</v>
      </c>
    </row>
    <row r="25" spans="1:5" x14ac:dyDescent="0.2">
      <c r="A25" s="101">
        <v>45861</v>
      </c>
      <c r="B25">
        <v>0</v>
      </c>
      <c r="C25">
        <v>2025</v>
      </c>
      <c r="D25" t="s">
        <v>316</v>
      </c>
      <c r="E25" s="42">
        <f>IF(Merge[[#This Row],[CompletedDailyChecks]]="",0,Merge[[#This Row],[CompletedDailyChecks]]/36)</f>
        <v>0</v>
      </c>
    </row>
    <row r="26" spans="1:5" x14ac:dyDescent="0.2">
      <c r="A26" s="101">
        <v>45862</v>
      </c>
      <c r="B26">
        <v>0</v>
      </c>
      <c r="C26">
        <v>2025</v>
      </c>
      <c r="D26" t="s">
        <v>316</v>
      </c>
      <c r="E26" s="42">
        <f>IF(Merge[[#This Row],[CompletedDailyChecks]]="",0,Merge[[#This Row],[CompletedDailyChecks]]/36)</f>
        <v>0</v>
      </c>
    </row>
    <row r="27" spans="1:5" x14ac:dyDescent="0.2">
      <c r="A27" s="101">
        <v>45863</v>
      </c>
      <c r="B27">
        <v>0</v>
      </c>
      <c r="C27">
        <v>2025</v>
      </c>
      <c r="D27" t="s">
        <v>316</v>
      </c>
      <c r="E27" s="42">
        <f>IF(Merge[[#This Row],[CompletedDailyChecks]]="",0,Merge[[#This Row],[CompletedDailyChecks]]/36)</f>
        <v>0</v>
      </c>
    </row>
    <row r="28" spans="1:5" x14ac:dyDescent="0.2">
      <c r="A28" s="101">
        <v>45866</v>
      </c>
      <c r="B28">
        <v>0</v>
      </c>
      <c r="C28">
        <v>2025</v>
      </c>
      <c r="D28" t="s">
        <v>316</v>
      </c>
      <c r="E28" s="42">
        <f>IF(Merge[[#This Row],[CompletedDailyChecks]]="",0,Merge[[#This Row],[CompletedDailyChecks]]/36)</f>
        <v>0</v>
      </c>
    </row>
    <row r="29" spans="1:5" x14ac:dyDescent="0.2">
      <c r="A29" s="101">
        <v>45867</v>
      </c>
      <c r="B29">
        <v>0</v>
      </c>
      <c r="C29">
        <v>2025</v>
      </c>
      <c r="D29" t="s">
        <v>316</v>
      </c>
      <c r="E29" s="42">
        <f>IF(Merge[[#This Row],[CompletedDailyChecks]]="",0,Merge[[#This Row],[CompletedDailyChecks]]/36)</f>
        <v>0</v>
      </c>
    </row>
    <row r="30" spans="1:5" x14ac:dyDescent="0.2">
      <c r="A30" s="101">
        <v>45868</v>
      </c>
      <c r="B30">
        <v>0</v>
      </c>
      <c r="C30">
        <v>2025</v>
      </c>
      <c r="D30" t="s">
        <v>316</v>
      </c>
      <c r="E30" s="42">
        <f>IF(Merge[[#This Row],[CompletedDailyChecks]]="",0,Merge[[#This Row],[CompletedDailyChecks]]/36)</f>
        <v>0</v>
      </c>
    </row>
    <row r="31" spans="1:5" x14ac:dyDescent="0.2">
      <c r="A31" s="101">
        <v>45869</v>
      </c>
      <c r="B31">
        <v>18</v>
      </c>
      <c r="C31">
        <v>2025</v>
      </c>
      <c r="D31" t="s">
        <v>316</v>
      </c>
      <c r="E31" s="42">
        <f>IF(Merge[[#This Row],[CompletedDailyChecks]]="",0,Merge[[#This Row],[CompletedDailyChecks]]/36)</f>
        <v>0.5</v>
      </c>
    </row>
    <row r="32" spans="1:5" x14ac:dyDescent="0.2">
      <c r="A32" s="101">
        <v>45870</v>
      </c>
      <c r="B32">
        <v>19</v>
      </c>
      <c r="C32">
        <v>2025</v>
      </c>
      <c r="D32" t="s">
        <v>334</v>
      </c>
      <c r="E32" s="42">
        <f>IF(Merge[[#This Row],[CompletedDailyChecks]]="",0,Merge[[#This Row],[CompletedDailyChecks]]/36)</f>
        <v>0.52777777777777779</v>
      </c>
    </row>
  </sheetData>
  <phoneticPr fontId="17"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96FA7-E9B7-0A44-A33A-F7BDB47EE125}">
  <sheetPr codeName="Sheet14"/>
  <dimension ref="A1:F2"/>
  <sheetViews>
    <sheetView workbookViewId="0">
      <selection activeCell="C2" sqref="C2"/>
    </sheetView>
  </sheetViews>
  <sheetFormatPr baseColWidth="10" defaultColWidth="11.5" defaultRowHeight="15" x14ac:dyDescent="0.2"/>
  <cols>
    <col min="1" max="1" width="7.1640625" bestFit="1" customWidth="1"/>
    <col min="2" max="2" width="12.33203125" bestFit="1" customWidth="1"/>
    <col min="3" max="3" width="9.83203125" bestFit="1" customWidth="1"/>
    <col min="4" max="4" width="11.83203125" bestFit="1" customWidth="1"/>
    <col min="5" max="5" width="14.1640625" bestFit="1" customWidth="1"/>
    <col min="6" max="6" width="18.1640625" style="42" bestFit="1" customWidth="1"/>
  </cols>
  <sheetData>
    <row r="1" spans="1:6" x14ac:dyDescent="0.2">
      <c r="A1" t="s">
        <v>297</v>
      </c>
      <c r="B1" t="s">
        <v>296</v>
      </c>
      <c r="C1" t="s">
        <v>298</v>
      </c>
      <c r="D1" t="s">
        <v>295</v>
      </c>
      <c r="E1" t="s">
        <v>318</v>
      </c>
      <c r="F1" s="42" t="s">
        <v>320</v>
      </c>
    </row>
    <row r="2" spans="1:6" x14ac:dyDescent="0.2">
      <c r="A2">
        <v>2025</v>
      </c>
      <c r="B2">
        <v>31</v>
      </c>
      <c r="C2" t="s">
        <v>322</v>
      </c>
      <c r="D2" t="s">
        <v>316</v>
      </c>
      <c r="E2">
        <v>18</v>
      </c>
      <c r="F2" s="42">
        <f>IF(WeeklyLogCount[[#This Row],[CheckCount]]="",0,WeeklyLogCount[[#This Row],[CheckCount]]/23)</f>
        <v>0.78260869565217395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6AD9-FF33-4F44-9181-7BA2BD483DE7}">
  <sheetPr codeName="Sheet15"/>
  <dimension ref="A1:E3"/>
  <sheetViews>
    <sheetView workbookViewId="0">
      <selection activeCell="H26" sqref="H26"/>
    </sheetView>
  </sheetViews>
  <sheetFormatPr baseColWidth="10" defaultColWidth="11.5" defaultRowHeight="15" x14ac:dyDescent="0.2"/>
  <cols>
    <col min="1" max="1" width="7.1640625" bestFit="1" customWidth="1"/>
    <col min="2" max="2" width="11.83203125" bestFit="1" customWidth="1"/>
    <col min="3" max="3" width="9.83203125" bestFit="1" customWidth="1"/>
    <col min="4" max="4" width="14.1640625" bestFit="1" customWidth="1"/>
    <col min="5" max="5" width="26" style="42" bestFit="1" customWidth="1"/>
  </cols>
  <sheetData>
    <row r="1" spans="1:5" x14ac:dyDescent="0.2">
      <c r="A1" t="s">
        <v>297</v>
      </c>
      <c r="B1" t="s">
        <v>295</v>
      </c>
      <c r="C1" t="s">
        <v>298</v>
      </c>
      <c r="D1" t="s">
        <v>318</v>
      </c>
      <c r="E1" s="42" t="s">
        <v>313</v>
      </c>
    </row>
    <row r="2" spans="1:5" x14ac:dyDescent="0.2">
      <c r="A2">
        <v>2025</v>
      </c>
      <c r="B2" t="s">
        <v>334</v>
      </c>
      <c r="C2" t="s">
        <v>322</v>
      </c>
      <c r="D2">
        <v>1</v>
      </c>
      <c r="E2" s="42">
        <f>IF(MonthlyLogCount[[#This Row],[CheckCount]]="",0,MonthlyLogCount[[#This Row],[CheckCount]]/11)</f>
        <v>9.0909090909090912E-2</v>
      </c>
    </row>
    <row r="3" spans="1:5" x14ac:dyDescent="0.2">
      <c r="A3">
        <v>2025</v>
      </c>
      <c r="B3" t="s">
        <v>316</v>
      </c>
      <c r="C3" t="s">
        <v>322</v>
      </c>
      <c r="D3">
        <v>3</v>
      </c>
      <c r="E3" s="42">
        <f>IF(MonthlyLogCount[[#This Row],[CheckCount]]="",0,MonthlyLogCount[[#This Row],[CheckCount]]/11)</f>
        <v>0.27272727272727271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95DC648-CED8-1745-8C34-A5EAE17B5D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Home dashboard</vt:lpstr>
      <vt:lpstr>Fundamental list</vt:lpstr>
      <vt:lpstr>Daily checks</vt:lpstr>
      <vt:lpstr>Weekly checks</vt:lpstr>
      <vt:lpstr>Monthly checks</vt:lpstr>
      <vt:lpstr>6 weeks+ checks</vt:lpstr>
      <vt:lpstr>Completion Rate</vt:lpstr>
      <vt:lpstr>ResetTracker</vt:lpstr>
      <vt:lpstr>KPIs</vt:lpstr>
      <vt:lpstr>Log sheet</vt:lpstr>
      <vt:lpstr>DailyLogCount</vt:lpstr>
      <vt:lpstr>WeeklyLogCount</vt:lpstr>
      <vt:lpstr>MonthlyLogCount</vt:lpstr>
      <vt:lpstr>tempcheck</vt:lpstr>
      <vt:lpstr>viscosity1</vt:lpstr>
      <vt:lpstr>viscosity2</vt:lpstr>
      <vt:lpstr>viscosity3</vt:lpstr>
    </vt:vector>
  </TitlesOfParts>
  <Company>Smurfit Kappa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Halladay</dc:creator>
  <cp:lastModifiedBy>Virág Németh</cp:lastModifiedBy>
  <dcterms:created xsi:type="dcterms:W3CDTF">2025-03-17T08:31:19Z</dcterms:created>
  <dcterms:modified xsi:type="dcterms:W3CDTF">2025-10-04T16:11:57Z</dcterms:modified>
</cp:coreProperties>
</file>